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 &quot;DH&quot;"/>
  </numFmts>
  <fonts count="22">
    <font>
      <name val="Arial"/>
      <color rgb="FF000000"/>
      <sz val="10"/>
      <scheme val="minor"/>
    </font>
    <font>
      <name val="Candara"/>
      <b val="1"/>
      <color theme="0"/>
      <sz val="12"/>
    </font>
    <font>
      <name val="Candara"/>
      <b val="1"/>
      <color theme="1"/>
      <sz val="12"/>
    </font>
    <font>
      <name val="Candara"/>
      <color theme="1"/>
      <sz val="12"/>
    </font>
    <font>
      <name val="Candara"/>
      <b val="1"/>
      <color rgb="FF980000"/>
      <sz val="12"/>
    </font>
    <font>
      <name val="Candara"/>
      <b val="1"/>
      <color rgb="FF274E13"/>
      <sz val="12"/>
    </font>
    <font/>
    <font>
      <name val="Arial"/>
      <color theme="1"/>
      <scheme val="minor"/>
    </font>
    <font>
      <name val="Arial"/>
      <b val="1"/>
      <color theme="1"/>
      <scheme val="minor"/>
    </font>
    <font>
      <name val="Calibri"/>
      <b val="1"/>
      <color rgb="00FFFFFF"/>
      <sz val="13"/>
    </font>
    <font>
      <name val="Calibri"/>
      <color rgb="00555555"/>
      <sz val="8.5"/>
    </font>
    <font>
      <name val="Calibri"/>
      <b val="1"/>
      <color rgb="00FFFFFF"/>
      <sz val="9"/>
    </font>
    <font>
      <name val="Calibri"/>
      <sz val="10"/>
    </font>
    <font>
      <name val="Calibri"/>
      <color rgb="000B6B2E"/>
      <sz val="10"/>
    </font>
    <font>
      <name val="Calibri"/>
      <b val="1"/>
      <sz val="10"/>
    </font>
    <font>
      <name val="Candara"/>
      <b val="1"/>
      <color rgb="00FFFFFF"/>
      <sz val="14"/>
    </font>
    <font>
      <name val="Candara"/>
      <color rgb="00555555"/>
      <sz val="10"/>
    </font>
    <font>
      <name val="Candara"/>
      <b val="1"/>
      <sz val="12"/>
    </font>
    <font>
      <name val="Candara"/>
      <b val="1"/>
      <color rgb="00FFFFFF"/>
      <sz val="12"/>
    </font>
    <font>
      <name val="Candara"/>
      <sz val="12"/>
    </font>
    <font>
      <name val="Candara"/>
      <color rgb="000B6B2E"/>
      <sz val="12"/>
    </font>
    <font>
      <name val="Candara"/>
      <color rgb="FF000000"/>
      <sz val="12"/>
    </font>
  </fonts>
  <fills count="12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001A1A2E"/>
      </patternFill>
    </fill>
    <fill>
      <patternFill patternType="solid">
        <fgColor rgb="006B2D8F"/>
      </patternFill>
    </fill>
    <fill>
      <patternFill patternType="solid">
        <fgColor rgb="00FFF6D8"/>
      </patternFill>
    </fill>
    <fill>
      <patternFill patternType="solid">
        <fgColor rgb="00FFFFFF"/>
      </patternFill>
    </fill>
    <fill>
      <patternFill patternType="solid">
        <fgColor rgb="00356854"/>
      </patternFill>
    </fill>
    <fill>
      <patternFill patternType="solid">
        <fgColor rgb="00FFFBEA"/>
      </patternFill>
    </fill>
  </fills>
  <borders count="8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C8D6D0"/>
      </left>
      <right style="thin">
        <color rgb="00C8D6D0"/>
      </right>
      <top style="thin">
        <color rgb="00C8D6D0"/>
      </top>
      <bottom style="thin">
        <color rgb="00C8D6D0"/>
      </bottom>
    </border>
  </borders>
  <cellStyleXfs count="1">
    <xf numFmtId="0" fontId="0" fillId="0" borderId="0"/>
  </cellStyleXfs>
  <cellXfs count="8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3" fillId="0" borderId="1" applyAlignment="1" pivotButton="0" quotePrefix="1" xfId="0">
      <alignment wrapText="1"/>
    </xf>
    <xf numFmtId="0" fontId="2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0" fontId="1" fillId="5" borderId="2" applyAlignment="1" pivotButton="0" quotePrefix="0" xfId="0">
      <alignment wrapText="1"/>
    </xf>
    <xf numFmtId="0" fontId="6" fillId="0" borderId="3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7" fillId="0" borderId="1" pivotButton="0" quotePrefix="0" xfId="0"/>
    <xf numFmtId="0" fontId="8" fillId="0" borderId="1" pivotButton="0" quotePrefix="0" xfId="0"/>
    <xf numFmtId="0" fontId="0" fillId="0" borderId="0" pivotButton="0" quotePrefix="0" xfId="0"/>
    <xf numFmtId="0" fontId="1" fillId="5" borderId="1" applyAlignment="1" pivotButton="0" quotePrefix="0" xfId="0">
      <alignment wrapText="1"/>
    </xf>
    <xf numFmtId="0" fontId="0" fillId="0" borderId="3" pivotButton="0" quotePrefix="0" xfId="0"/>
    <xf numFmtId="0" fontId="9" fillId="6" borderId="0" pivotButton="0" quotePrefix="0" xfId="0"/>
    <xf numFmtId="0" fontId="10" fillId="0" borderId="0" pivotButton="0" quotePrefix="0" xfId="0"/>
    <xf numFmtId="0" fontId="11" fillId="7" borderId="6" applyAlignment="1" pivotButton="0" quotePrefix="0" xfId="0">
      <alignment horizontal="center" vertical="center" wrapText="1"/>
    </xf>
    <xf numFmtId="0" fontId="12" fillId="0" borderId="6" pivotButton="0" quotePrefix="0" xfId="0"/>
    <xf numFmtId="0" fontId="13" fillId="0" borderId="6" pivotButton="0" quotePrefix="0" xfId="0"/>
    <xf numFmtId="0" fontId="12" fillId="8" borderId="6" applyAlignment="1" pivotButton="0" quotePrefix="0" xfId="0">
      <alignment horizontal="center" vertical="center"/>
    </xf>
    <xf numFmtId="9" fontId="13" fillId="0" borderId="6" pivotButton="0" quotePrefix="0" xfId="0"/>
    <xf numFmtId="0" fontId="12" fillId="8" borderId="6" pivotButton="0" quotePrefix="0" xfId="0"/>
    <xf numFmtId="0" fontId="13" fillId="9" borderId="6" pivotButton="0" quotePrefix="0" xfId="0"/>
    <xf numFmtId="164" fontId="12" fillId="8" borderId="6" applyAlignment="1" pivotButton="0" quotePrefix="0" xfId="0">
      <alignment vertical="top" wrapText="1"/>
    </xf>
    <xf numFmtId="0" fontId="12" fillId="8" borderId="6" applyAlignment="1" pivotButton="0" quotePrefix="0" xfId="0">
      <alignment vertical="top" wrapText="1"/>
    </xf>
    <xf numFmtId="0" fontId="14" fillId="0" borderId="6" pivotButton="0" quotePrefix="0" xfId="0"/>
    <xf numFmtId="0" fontId="17" fillId="0" borderId="0" applyAlignment="1" pivotButton="0" quotePrefix="0" xfId="0">
      <alignment wrapText="1"/>
    </xf>
    <xf numFmtId="0" fontId="17" fillId="2" borderId="1" applyAlignment="1" pivotButton="0" quotePrefix="0" xfId="0">
      <alignment wrapText="1"/>
    </xf>
    <xf numFmtId="0" fontId="17" fillId="0" borderId="1" applyAlignment="1" pivotButton="0" quotePrefix="0" xfId="0">
      <alignment wrapText="1"/>
    </xf>
    <xf numFmtId="0" fontId="17" fillId="5" borderId="1" applyAlignment="1" pivotButton="0" quotePrefix="0" xfId="0">
      <alignment wrapText="1"/>
    </xf>
    <xf numFmtId="0" fontId="21" fillId="0" borderId="3" pivotButton="0" quotePrefix="0" xfId="0"/>
    <xf numFmtId="0" fontId="18" fillId="10" borderId="7" applyAlignment="1" pivotButton="0" quotePrefix="0" xfId="0">
      <alignment horizontal="center" vertical="center" wrapText="1"/>
    </xf>
    <xf numFmtId="0" fontId="19" fillId="0" borderId="1" applyAlignment="1" pivotButton="0" quotePrefix="0" xfId="0">
      <alignment vertical="center" wrapText="1"/>
    </xf>
    <xf numFmtId="0" fontId="17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9" fillId="0" borderId="1" pivotButton="0" quotePrefix="0" xfId="0"/>
    <xf numFmtId="0" fontId="17" fillId="0" borderId="1" pivotButton="0" quotePrefix="0" xfId="0"/>
    <xf numFmtId="0" fontId="19" fillId="0" borderId="1" applyAlignment="1" pivotButton="0" quotePrefix="1" xfId="0">
      <alignment wrapText="1"/>
    </xf>
    <xf numFmtId="0" fontId="19" fillId="0" borderId="1" applyAlignment="1" pivotButton="0" quotePrefix="0" xfId="0">
      <alignment wrapText="1"/>
    </xf>
    <xf numFmtId="0" fontId="15" fillId="1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  <xf numFmtId="165" fontId="17" fillId="11" borderId="7" applyAlignment="1" pivotButton="0" quotePrefix="0" xfId="0">
      <alignment horizontal="center" vertical="center"/>
    </xf>
    <xf numFmtId="0" fontId="17" fillId="11" borderId="7" applyAlignment="1" pivotButton="0" quotePrefix="0" xfId="0">
      <alignment horizontal="center" vertical="center"/>
    </xf>
    <xf numFmtId="0" fontId="16" fillId="0" borderId="0" pivotButton="0" quotePrefix="0" xfId="0"/>
    <xf numFmtId="0" fontId="19" fillId="0" borderId="7" pivotButton="0" quotePrefix="0" xfId="0"/>
    <xf numFmtId="0" fontId="20" fillId="0" borderId="7" pivotButton="0" quotePrefix="0" xfId="0"/>
    <xf numFmtId="165" fontId="19" fillId="11" borderId="7" applyAlignment="1" pivotButton="0" quotePrefix="0" xfId="0">
      <alignment horizontal="center" vertical="center"/>
    </xf>
    <xf numFmtId="165" fontId="20" fillId="0" borderId="7" pivotButton="0" quotePrefix="0" xfId="0"/>
    <xf numFmtId="0" fontId="20" fillId="0" borderId="7" applyAlignment="1" pivotButton="0" quotePrefix="0" xfId="0">
      <alignment horizontal="center" vertical="center"/>
    </xf>
    <xf numFmtId="0" fontId="19" fillId="11" borderId="7" pivotButton="0" quotePrefix="0" xfId="0"/>
    <xf numFmtId="0" fontId="0" fillId="10" borderId="7" pivotButton="0" quotePrefix="0" xfId="0"/>
    <xf numFmtId="0" fontId="18" fillId="10" borderId="7" pivotButton="0" quotePrefix="0" xfId="0"/>
    <xf numFmtId="0" fontId="0" fillId="0" borderId="7" pivotButton="0" quotePrefix="0" xfId="0"/>
    <xf numFmtId="165" fontId="18" fillId="10" borderId="7" applyAlignment="1" pivotButton="0" quotePrefix="0" xfId="0">
      <alignment horizontal="center" vertical="center"/>
    </xf>
    <xf numFmtId="0" fontId="17" fillId="0" borderId="7" pivotButton="0" quotePrefix="0" xfId="0"/>
    <xf numFmtId="165" fontId="20" fillId="0" borderId="7" applyAlignment="1" pivotButton="0" quotePrefix="0" xfId="0">
      <alignment horizontal="center" vertical="center"/>
    </xf>
    <xf numFmtId="164" fontId="19" fillId="11" borderId="7" applyAlignment="1" pivotButton="0" quotePrefix="0" xfId="0">
      <alignment vertical="top" wrapText="1"/>
    </xf>
    <xf numFmtId="0" fontId="19" fillId="11" borderId="7" applyAlignment="1" pivotButton="0" quotePrefix="0" xfId="0">
      <alignment horizontal="center" vertical="center"/>
    </xf>
    <xf numFmtId="0" fontId="19" fillId="11" borderId="7" applyAlignment="1" pivotButton="0" quotePrefix="0" xfId="0">
      <alignment vertical="top" wrapText="1"/>
    </xf>
    <xf numFmtId="0" fontId="15" fillId="0" borderId="0" pivotButton="0" quotePrefix="0" xfId="0"/>
    <xf numFmtId="0" fontId="18" fillId="10" borderId="6" applyAlignment="1" pivotButton="0" quotePrefix="0" xfId="0">
      <alignment horizontal="center" vertical="center" wrapText="1"/>
    </xf>
    <xf numFmtId="0" fontId="19" fillId="0" borderId="6" pivotButton="0" quotePrefix="0" xfId="0"/>
    <xf numFmtId="0" fontId="20" fillId="0" borderId="6" pivotButton="0" quotePrefix="0" xfId="0"/>
    <xf numFmtId="0" fontId="19" fillId="11" borderId="6" applyAlignment="1" pivotButton="0" quotePrefix="0" xfId="0">
      <alignment horizontal="center" vertical="center"/>
    </xf>
    <xf numFmtId="9" fontId="20" fillId="0" borderId="6" pivotButton="0" quotePrefix="0" xfId="0"/>
    <xf numFmtId="0" fontId="19" fillId="11" borderId="6" pivotButton="0" quotePrefix="0" xfId="0"/>
    <xf numFmtId="0" fontId="20" fillId="9" borderId="6" pivotButton="0" quotePrefix="0" xfId="0"/>
    <xf numFmtId="164" fontId="19" fillId="11" borderId="6" applyAlignment="1" pivotButton="0" quotePrefix="0" xfId="0">
      <alignment vertical="top" wrapText="1"/>
    </xf>
    <xf numFmtId="0" fontId="19" fillId="11" borderId="6" applyAlignment="1" pivotButton="0" quotePrefix="0" xfId="0">
      <alignment vertical="top" wrapText="1"/>
    </xf>
    <xf numFmtId="0" fontId="17" fillId="0" borderId="6" pivotButton="0" quotePrefix="0" xfId="0"/>
  </cellXfs>
  <cellStyles count="1">
    <cellStyle name="Normal" xfId="0" builtinId="0"/>
  </cellStyles>
  <dxfs count="12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00FDECEC"/>
        </patternFill>
      </fill>
    </dxf>
    <dxf>
      <font>
        <name val="Calibri"/>
        <b val="1"/>
        <color rgb="00A11111"/>
      </font>
      <fill>
        <patternFill patternType="solid">
          <fgColor rgb="00FFC7C7"/>
        </patternFill>
      </fill>
    </dxf>
    <dxf>
      <fill>
        <patternFill patternType="solid">
          <fgColor rgb="00EAF7EE"/>
        </patternFill>
      </fill>
    </dxf>
    <dxf>
      <font>
        <name val="Candara"/>
        <color rgb="000B6B2E"/>
        <sz val="12"/>
      </font>
      <fill>
        <patternFill patternType="solid">
          <fgColor rgb="00EDF4F1"/>
        </patternFill>
      </fill>
    </dxf>
    <dxf>
      <font>
        <name val="Candara"/>
        <b val="1"/>
        <color rgb="00A11111"/>
        <sz val="12"/>
      </font>
      <fill>
        <patternFill patternType="solid">
          <fgColor rgb="00FFCFC9"/>
        </patternFill>
      </fill>
    </dxf>
    <dxf>
      <fill>
        <patternFill patternType="solid">
          <fgColor rgb="00FFCFC9"/>
        </patternFill>
      </fill>
    </dxf>
    <dxf>
      <fill>
        <patternFill patternType="solid">
          <fgColor rgb="00EDF4F1"/>
        </patternFill>
      </fill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Inscriptions" displayName="Inscriptions" ref="A6:G997" headerRowCount="1">
  <tableColumns count="7">
    <tableColumn id="1" name="Noms et Prénoms"/>
    <tableColumn id="2" name="Nom du Parent"/>
    <tableColumn id="3" name="Classe"/>
    <tableColumn id="4" name="Participation"/>
    <tableColumn id="5" name="Montant"/>
    <tableColumn id="6" name="Date de Paiement"/>
    <tableColumn id="7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.75" customHeight="1"/>
  <cols>
    <col width="32.38" customWidth="1" style="23" min="1" max="1"/>
    <col width="28" customWidth="1" style="23" min="2" max="2"/>
    <col width="22.25" customWidth="1" style="23" min="3" max="3"/>
    <col width="23.88" customWidth="1" style="23" min="4" max="4"/>
    <col width="17.25" customWidth="1" style="23" min="5" max="5"/>
    <col width="19.75" customWidth="1" style="23" min="6" max="6"/>
    <col width="24.25" customWidth="1" style="23" min="7" max="7"/>
  </cols>
  <sheetData>
    <row r="1">
      <c r="A1" s="38" t="n"/>
      <c r="B1" s="39" t="inlineStr">
        <is>
          <t>Classes</t>
        </is>
      </c>
      <c r="C1" s="39" t="inlineStr">
        <is>
          <t>Niveau</t>
        </is>
      </c>
      <c r="D1" s="39" t="inlineStr">
        <is>
          <t>Effectifs</t>
        </is>
      </c>
      <c r="E1" s="38" t="n"/>
      <c r="F1" s="38" t="n"/>
      <c r="G1" s="38" t="n"/>
    </row>
    <row r="2">
      <c r="A2" s="38" t="n"/>
      <c r="B2" s="8" t="inlineStr">
        <is>
          <t>JERUSALEM GEEKS</t>
        </is>
      </c>
      <c r="C2" s="40" t="inlineStr">
        <is>
          <t>Niveau 9 à 12 ans</t>
        </is>
      </c>
      <c r="D2" s="40">
        <f>COUNTIF(C6:C1002, B2)</f>
        <v/>
      </c>
      <c r="E2" s="38" t="n"/>
      <c r="F2" s="38" t="n"/>
      <c r="G2" s="38" t="n"/>
    </row>
    <row r="3">
      <c r="A3" s="38" t="n"/>
      <c r="B3" s="9" t="inlineStr">
        <is>
          <t>JEREMIAH GEEKS</t>
        </is>
      </c>
      <c r="C3" s="40" t="inlineStr">
        <is>
          <t>Niveau 12 à 18 ans</t>
        </is>
      </c>
      <c r="D3" s="40">
        <f>COUNTIF(C6:C1002, B3)</f>
        <v/>
      </c>
      <c r="E3" s="38" t="n"/>
      <c r="F3" s="38" t="n"/>
      <c r="G3" s="38" t="n"/>
    </row>
    <row r="4">
      <c r="A4" s="38" t="n"/>
      <c r="B4" s="41" t="inlineStr">
        <is>
          <t>Total</t>
        </is>
      </c>
      <c r="C4" s="42" t="n"/>
      <c r="D4" s="40">
        <f>SUM(D2:D3)</f>
        <v/>
      </c>
      <c r="E4" s="38" t="n"/>
      <c r="F4" s="38" t="n"/>
      <c r="G4" s="38" t="n"/>
    </row>
    <row r="5">
      <c r="A5" s="38" t="n"/>
      <c r="B5" s="38" t="n"/>
      <c r="C5" s="38" t="n"/>
      <c r="D5" s="38" t="n"/>
      <c r="E5" s="38" t="n"/>
      <c r="F5" s="38" t="n"/>
      <c r="G5" s="38" t="n"/>
    </row>
    <row r="6" ht="30" customHeight="1" s="23">
      <c r="A6" s="43" t="inlineStr">
        <is>
          <t>Noms et Prénoms</t>
        </is>
      </c>
      <c r="B6" s="43" t="inlineStr">
        <is>
          <t>Nom du Parent</t>
        </is>
      </c>
      <c r="C6" s="43" t="inlineStr">
        <is>
          <t>Classe</t>
        </is>
      </c>
      <c r="D6" s="43" t="inlineStr">
        <is>
          <t>Participation</t>
        </is>
      </c>
      <c r="E6" s="43" t="inlineStr">
        <is>
          <t>Montant</t>
        </is>
      </c>
      <c r="F6" s="43" t="inlineStr">
        <is>
          <t>Date de Paiement</t>
        </is>
      </c>
      <c r="G6" s="43" t="inlineStr">
        <is>
          <t>Commentaires</t>
        </is>
      </c>
    </row>
    <row r="7" ht="22.5" customHeight="1" s="23">
      <c r="A7" s="44" t="inlineStr">
        <is>
          <t>Ephraïm Christ-Emmanuel AMON</t>
        </is>
      </c>
      <c r="B7" s="44" t="inlineStr">
        <is>
          <t>Nadège DOMA</t>
        </is>
      </c>
      <c r="C7" s="45" t="inlineStr">
        <is>
          <t>JERUSALEM GEEKS</t>
        </is>
      </c>
      <c r="D7" s="44" t="inlineStr">
        <is>
          <t>Non Payé</t>
        </is>
      </c>
      <c r="E7" s="44" t="n"/>
      <c r="F7" s="44" t="n"/>
      <c r="G7" s="44" t="n"/>
    </row>
    <row r="8" ht="22.5" customHeight="1" s="23">
      <c r="A8" s="44" t="inlineStr">
        <is>
          <t>Gédéon OKITONGA</t>
        </is>
      </c>
      <c r="B8" s="44" t="inlineStr">
        <is>
          <t>Roland OKITONGA</t>
        </is>
      </c>
      <c r="C8" s="45" t="inlineStr">
        <is>
          <t>JERUSALEM GEEKS</t>
        </is>
      </c>
      <c r="D8" s="44" t="inlineStr">
        <is>
          <t>Non Payé</t>
        </is>
      </c>
      <c r="E8" s="44" t="n"/>
      <c r="F8" s="44" t="n"/>
      <c r="G8" s="44" t="n"/>
    </row>
    <row r="9" ht="22.5" customHeight="1" s="23">
      <c r="A9" s="44" t="inlineStr">
        <is>
          <t>Joyce Bouam LALLE</t>
        </is>
      </c>
      <c r="B9" s="44" t="inlineStr">
        <is>
          <t>Ancien Hervé LALLE</t>
        </is>
      </c>
      <c r="C9" s="45" t="inlineStr">
        <is>
          <t>JERUSALEM GEEKS</t>
        </is>
      </c>
      <c r="D9" s="44" t="inlineStr">
        <is>
          <t>Non Payé</t>
        </is>
      </c>
      <c r="E9" s="44" t="n"/>
      <c r="F9" s="44" t="n"/>
      <c r="G9" s="44" t="n"/>
    </row>
    <row r="10" ht="22.5" customHeight="1" s="23">
      <c r="A10" s="44" t="inlineStr">
        <is>
          <t>Joseph Daniel NGAPELA</t>
        </is>
      </c>
      <c r="B10" s="44" t="inlineStr">
        <is>
          <t>DC Emmanuel NGAPELA</t>
        </is>
      </c>
      <c r="C10" s="45" t="inlineStr">
        <is>
          <t>JERUSALEM GEEKS</t>
        </is>
      </c>
      <c r="D10" s="44" t="inlineStr">
        <is>
          <t>Non Payé</t>
        </is>
      </c>
      <c r="E10" s="44" t="n"/>
      <c r="F10" s="44" t="n"/>
      <c r="G10" s="44" t="n"/>
    </row>
    <row r="11" ht="22.5" customHeight="1" s="23">
      <c r="A11" s="44" t="inlineStr">
        <is>
          <t>Lohiss LOUA</t>
        </is>
      </c>
      <c r="B11" s="44" t="inlineStr">
        <is>
          <t>Pasteur Cyrille</t>
        </is>
      </c>
      <c r="C11" s="45" t="inlineStr">
        <is>
          <t>JERUSALEM GEEKS</t>
        </is>
      </c>
      <c r="D11" s="44" t="inlineStr">
        <is>
          <t>Non Payé</t>
        </is>
      </c>
      <c r="E11" s="44" t="n"/>
      <c r="F11" s="44" t="n"/>
      <c r="G11" s="44" t="n"/>
    </row>
    <row r="12" ht="22.5" customHeight="1" s="23">
      <c r="A12" s="46" t="inlineStr">
        <is>
          <t>Caleb DOGBRE</t>
        </is>
      </c>
      <c r="B12" s="46" t="inlineStr">
        <is>
          <t>Ancien Jean Christophe DOGBRE</t>
        </is>
      </c>
      <c r="C12" s="47" t="inlineStr">
        <is>
          <t>JERUSALEM GEEKS</t>
        </is>
      </c>
      <c r="D12" s="46" t="inlineStr">
        <is>
          <t>Non Payé</t>
        </is>
      </c>
      <c r="E12" s="46" t="n"/>
      <c r="F12" s="46" t="n"/>
      <c r="G12" s="46" t="n"/>
    </row>
    <row r="13" ht="22.5" customHeight="1" s="23">
      <c r="A13" s="46" t="inlineStr">
        <is>
          <t>Grâce-Elsa DREESEN</t>
        </is>
      </c>
      <c r="B13" s="46" t="inlineStr">
        <is>
          <t>Christelle DREESEN</t>
        </is>
      </c>
      <c r="C13" s="47" t="inlineStr">
        <is>
          <t>JERUSALEM GEEKS</t>
        </is>
      </c>
      <c r="D13" s="46" t="inlineStr">
        <is>
          <t>Non Payé</t>
        </is>
      </c>
      <c r="E13" s="46" t="n"/>
      <c r="F13" s="46" t="n"/>
      <c r="G13" s="46" t="n"/>
    </row>
    <row r="14" ht="22.5" customHeight="1" s="23">
      <c r="A14" s="44" t="inlineStr">
        <is>
          <t>Yanis AMESSAN</t>
        </is>
      </c>
      <c r="B14" s="44" t="inlineStr">
        <is>
          <t>Mariam ADE RONKE AMESSAN</t>
        </is>
      </c>
      <c r="C14" s="45" t="inlineStr">
        <is>
          <t>JEREMIAH GEEKS</t>
        </is>
      </c>
      <c r="D14" s="44" t="inlineStr">
        <is>
          <t>Non Payé</t>
        </is>
      </c>
      <c r="E14" s="44" t="n"/>
      <c r="F14" s="44" t="n"/>
      <c r="G14" s="44" t="n"/>
    </row>
    <row r="15" ht="22.5" customHeight="1" s="23">
      <c r="A15" s="44" t="inlineStr">
        <is>
          <t>Isaac YEDOH LOHOUESS</t>
        </is>
      </c>
      <c r="B15" s="44" t="inlineStr">
        <is>
          <t>Tata Sara</t>
        </is>
      </c>
      <c r="C15" s="45" t="inlineStr">
        <is>
          <t>JEREMIAH GEEKS</t>
        </is>
      </c>
      <c r="D15" s="44" t="inlineStr">
        <is>
          <t>Non Payé</t>
        </is>
      </c>
      <c r="E15" s="44" t="n"/>
      <c r="F15" s="44" t="n"/>
      <c r="G15" s="44" t="n"/>
    </row>
    <row r="16" ht="22.5" customHeight="1" s="23">
      <c r="A16" s="44" t="inlineStr">
        <is>
          <t>Acquilas MBIERE</t>
        </is>
      </c>
      <c r="B16" s="44" t="inlineStr">
        <is>
          <t>Christelle OSSALE</t>
        </is>
      </c>
      <c r="C16" s="45" t="inlineStr">
        <is>
          <t>JEREMIAH GEEKS</t>
        </is>
      </c>
      <c r="D16" s="44" t="inlineStr">
        <is>
          <t>Non Payé</t>
        </is>
      </c>
      <c r="E16" s="44" t="n"/>
      <c r="F16" s="44" t="n"/>
      <c r="G16" s="44" t="n"/>
    </row>
    <row r="17" ht="22.5" customHeight="1" s="23">
      <c r="A17" s="44" t="inlineStr">
        <is>
          <t>Bénicia Chryti Léa MBIERE</t>
        </is>
      </c>
      <c r="B17" s="44" t="inlineStr">
        <is>
          <t>Christelle OSSALE</t>
        </is>
      </c>
      <c r="C17" s="45" t="inlineStr">
        <is>
          <t>JEREMIAH GEEKS</t>
        </is>
      </c>
      <c r="D17" s="44" t="inlineStr">
        <is>
          <t>Non Payé</t>
        </is>
      </c>
      <c r="E17" s="44" t="n"/>
      <c r="F17" s="44" t="n"/>
      <c r="G17" s="44" t="n"/>
    </row>
    <row r="18" ht="22.5" customHeight="1" s="23">
      <c r="A18" s="44" t="inlineStr">
        <is>
          <t>Viesainte MBIERE</t>
        </is>
      </c>
      <c r="B18" s="44" t="inlineStr">
        <is>
          <t>Christelle OSSALE</t>
        </is>
      </c>
      <c r="C18" s="45" t="inlineStr">
        <is>
          <t>JEREMIAH GEEKS</t>
        </is>
      </c>
      <c r="D18" s="44" t="inlineStr">
        <is>
          <t>Non Payé</t>
        </is>
      </c>
      <c r="E18" s="44" t="n"/>
      <c r="F18" s="44" t="n"/>
      <c r="G18" s="44" t="n"/>
    </row>
    <row r="19" ht="22.5" customHeight="1" s="23">
      <c r="A19" s="46" t="inlineStr">
        <is>
          <t>Joshua DOGBRE</t>
        </is>
      </c>
      <c r="B19" s="46" t="inlineStr">
        <is>
          <t>Ancien Jean Christophe DOGBRE</t>
        </is>
      </c>
      <c r="C19" s="47" t="inlineStr">
        <is>
          <t>JEREMIAH GEEKS</t>
        </is>
      </c>
      <c r="D19" s="46" t="inlineStr">
        <is>
          <t>Non Payé</t>
        </is>
      </c>
      <c r="E19" s="46" t="n"/>
      <c r="F19" s="46" t="n"/>
      <c r="G19" s="46" t="n"/>
    </row>
    <row r="20" ht="22.5" customHeight="1" s="23">
      <c r="A20" s="46" t="inlineStr">
        <is>
          <t>Sarah LOUA</t>
        </is>
      </c>
      <c r="B20" s="46" t="inlineStr">
        <is>
          <t>Pasteur Cyrille LOUA</t>
        </is>
      </c>
      <c r="C20" s="47" t="inlineStr">
        <is>
          <t>JEREMIAH GEEKS</t>
        </is>
      </c>
      <c r="D20" s="46" t="inlineStr">
        <is>
          <t>Non Payé</t>
        </is>
      </c>
      <c r="E20" s="46" t="n"/>
      <c r="F20" s="46" t="n"/>
      <c r="G20" s="46" t="n"/>
    </row>
    <row r="21" ht="22.5" customHeight="1" s="23">
      <c r="A21" s="46" t="inlineStr">
        <is>
          <t>Ethan SORO</t>
        </is>
      </c>
      <c r="B21" s="46" t="inlineStr">
        <is>
          <t>Elodie SORO</t>
        </is>
      </c>
      <c r="C21" s="47" t="inlineStr">
        <is>
          <t>JEREMIAH GEEKS</t>
        </is>
      </c>
      <c r="D21" s="46" t="inlineStr">
        <is>
          <t>Non Payé</t>
        </is>
      </c>
      <c r="E21" s="46" t="n"/>
      <c r="F21" s="46" t="n"/>
      <c r="G21" s="46" t="n"/>
    </row>
    <row r="22" ht="22.5" customHeight="1" s="23">
      <c r="A22" s="46" t="n"/>
      <c r="B22" s="46" t="n"/>
      <c r="C22" s="47" t="n"/>
      <c r="D22" s="46" t="n"/>
      <c r="E22" s="46" t="n"/>
      <c r="F22" s="46" t="n"/>
      <c r="G22" s="46" t="n"/>
    </row>
    <row r="23" ht="22.5" customHeight="1" s="23">
      <c r="A23" s="46" t="n"/>
      <c r="B23" s="46" t="n"/>
      <c r="C23" s="47" t="n"/>
      <c r="D23" s="46" t="n"/>
      <c r="E23" s="46" t="n"/>
      <c r="F23" s="46" t="n"/>
      <c r="G23" s="46" t="n"/>
    </row>
    <row r="24" ht="22.5" customHeight="1" s="23">
      <c r="A24" s="46" t="n"/>
      <c r="B24" s="46" t="n"/>
      <c r="C24" s="47" t="n"/>
      <c r="D24" s="46" t="n"/>
      <c r="E24" s="46" t="n"/>
      <c r="F24" s="46" t="n"/>
      <c r="G24" s="46" t="n"/>
    </row>
    <row r="25" ht="22.5" customHeight="1" s="23">
      <c r="A25" s="46" t="n"/>
      <c r="B25" s="46" t="n"/>
      <c r="C25" s="47" t="n"/>
      <c r="D25" s="46" t="n"/>
      <c r="E25" s="46" t="n"/>
      <c r="F25" s="46" t="n"/>
      <c r="G25" s="46" t="n"/>
    </row>
    <row r="26" ht="22.5" customHeight="1" s="23">
      <c r="A26" s="46" t="n"/>
      <c r="B26" s="46" t="n"/>
      <c r="C26" s="47" t="n"/>
      <c r="D26" s="46" t="n"/>
      <c r="E26" s="46" t="n"/>
      <c r="F26" s="46" t="n"/>
      <c r="G26" s="46" t="n"/>
    </row>
    <row r="27" ht="22.5" customHeight="1" s="23">
      <c r="A27" s="46" t="n"/>
      <c r="B27" s="46" t="n"/>
      <c r="C27" s="47" t="n"/>
      <c r="D27" s="46" t="n"/>
      <c r="E27" s="46" t="n"/>
      <c r="F27" s="46" t="n"/>
      <c r="G27" s="46" t="n"/>
    </row>
    <row r="28" ht="22.5" customHeight="1" s="23">
      <c r="A28" s="46" t="n"/>
      <c r="B28" s="46" t="n"/>
      <c r="C28" s="47" t="n"/>
      <c r="D28" s="46" t="n"/>
      <c r="E28" s="46" t="n"/>
      <c r="F28" s="46" t="n"/>
      <c r="G28" s="46" t="n"/>
    </row>
    <row r="29" ht="22.5" customHeight="1" s="23">
      <c r="A29" s="46" t="n"/>
      <c r="B29" s="46" t="n"/>
      <c r="C29" s="47" t="n"/>
      <c r="D29" s="46" t="n"/>
      <c r="E29" s="46" t="n"/>
      <c r="F29" s="46" t="n"/>
      <c r="G29" s="46" t="n"/>
    </row>
    <row r="30" ht="22.5" customHeight="1" s="23">
      <c r="A30" s="46" t="n"/>
      <c r="B30" s="46" t="n"/>
      <c r="C30" s="47" t="n"/>
      <c r="D30" s="46" t="n"/>
      <c r="E30" s="46" t="n"/>
      <c r="F30" s="46" t="n"/>
      <c r="G30" s="46" t="n"/>
    </row>
    <row r="31" ht="22.5" customHeight="1" s="23">
      <c r="A31" s="46" t="n"/>
      <c r="B31" s="46" t="n"/>
      <c r="C31" s="47" t="n"/>
      <c r="D31" s="46" t="n"/>
      <c r="E31" s="46" t="n"/>
      <c r="F31" s="46" t="n"/>
      <c r="G31" s="46" t="n"/>
    </row>
    <row r="32" ht="22.5" customHeight="1" s="23">
      <c r="A32" s="46" t="n"/>
      <c r="B32" s="46" t="n"/>
      <c r="C32" s="47" t="n"/>
      <c r="D32" s="46" t="n"/>
      <c r="E32" s="46" t="n"/>
      <c r="F32" s="46" t="n"/>
      <c r="G32" s="46" t="n"/>
    </row>
    <row r="33" ht="22.5" customHeight="1" s="23">
      <c r="A33" s="46" t="n"/>
      <c r="B33" s="46" t="n"/>
      <c r="C33" s="47" t="n"/>
      <c r="D33" s="46" t="n"/>
      <c r="E33" s="46" t="n"/>
      <c r="F33" s="46" t="n"/>
      <c r="G33" s="46" t="n"/>
    </row>
    <row r="34" ht="22.5" customHeight="1" s="23">
      <c r="A34" s="46" t="n"/>
      <c r="B34" s="46" t="n"/>
      <c r="C34" s="47" t="n"/>
      <c r="D34" s="46" t="n"/>
      <c r="E34" s="46" t="n"/>
      <c r="F34" s="46" t="n"/>
      <c r="G34" s="46" t="n"/>
    </row>
    <row r="35" ht="22.5" customHeight="1" s="23">
      <c r="A35" s="46" t="n"/>
      <c r="B35" s="46" t="n"/>
      <c r="C35" s="47" t="n"/>
      <c r="D35" s="46" t="n"/>
      <c r="E35" s="46" t="n"/>
      <c r="F35" s="46" t="n"/>
      <c r="G35" s="46" t="n"/>
    </row>
    <row r="36" ht="22.5" customHeight="1" s="23">
      <c r="A36" s="46" t="n"/>
      <c r="B36" s="46" t="n"/>
      <c r="C36" s="47" t="n"/>
      <c r="D36" s="46" t="n"/>
      <c r="E36" s="46" t="n"/>
      <c r="F36" s="46" t="n"/>
      <c r="G36" s="46" t="n"/>
    </row>
    <row r="37" ht="22.5" customHeight="1" s="23">
      <c r="A37" s="46" t="n"/>
      <c r="B37" s="46" t="n"/>
      <c r="C37" s="47" t="n"/>
      <c r="D37" s="46" t="n"/>
      <c r="E37" s="46" t="n"/>
      <c r="F37" s="46" t="n"/>
      <c r="G37" s="46" t="n"/>
    </row>
    <row r="38" ht="22.5" customHeight="1" s="23">
      <c r="A38" s="46" t="n"/>
      <c r="B38" s="46" t="n"/>
      <c r="C38" s="47" t="n"/>
      <c r="D38" s="46" t="n"/>
      <c r="E38" s="46" t="n"/>
      <c r="F38" s="46" t="n"/>
      <c r="G38" s="46" t="n"/>
    </row>
    <row r="39" ht="22.5" customHeight="1" s="23">
      <c r="A39" s="46" t="n"/>
      <c r="B39" s="46" t="n"/>
      <c r="C39" s="47" t="n"/>
      <c r="D39" s="46" t="n"/>
      <c r="E39" s="46" t="n"/>
      <c r="F39" s="46" t="n"/>
      <c r="G39" s="46" t="n"/>
    </row>
    <row r="40" ht="22.5" customHeight="1" s="23">
      <c r="A40" s="46" t="n"/>
      <c r="B40" s="46" t="n"/>
      <c r="C40" s="47" t="n"/>
      <c r="D40" s="46" t="n"/>
      <c r="E40" s="46" t="n"/>
      <c r="F40" s="46" t="n"/>
      <c r="G40" s="46" t="n"/>
    </row>
    <row r="41" ht="22.5" customHeight="1" s="23">
      <c r="A41" s="46" t="n"/>
      <c r="B41" s="46" t="n"/>
      <c r="C41" s="47" t="n"/>
      <c r="D41" s="46" t="n"/>
      <c r="E41" s="46" t="n"/>
      <c r="F41" s="46" t="n"/>
      <c r="G41" s="46" t="n"/>
    </row>
    <row r="42" ht="22.5" customHeight="1" s="23">
      <c r="A42" s="46" t="n"/>
      <c r="B42" s="46" t="n"/>
      <c r="C42" s="47" t="n"/>
      <c r="D42" s="46" t="n"/>
      <c r="E42" s="46" t="n"/>
      <c r="F42" s="46" t="n"/>
      <c r="G42" s="46" t="n"/>
    </row>
    <row r="43" ht="22.5" customHeight="1" s="23">
      <c r="A43" s="46" t="n"/>
      <c r="B43" s="46" t="n"/>
      <c r="C43" s="47" t="n"/>
      <c r="D43" s="46" t="n"/>
      <c r="E43" s="46" t="n"/>
      <c r="F43" s="46" t="n"/>
      <c r="G43" s="46" t="n"/>
    </row>
    <row r="44" ht="22.5" customHeight="1" s="23">
      <c r="A44" s="46" t="n"/>
      <c r="B44" s="46" t="n"/>
      <c r="C44" s="47" t="n"/>
      <c r="D44" s="46" t="n"/>
      <c r="E44" s="46" t="n"/>
      <c r="F44" s="46" t="n"/>
      <c r="G44" s="46" t="n"/>
    </row>
    <row r="45" ht="22.5" customHeight="1" s="23">
      <c r="A45" s="46" t="n"/>
      <c r="B45" s="46" t="n"/>
      <c r="C45" s="47" t="n"/>
      <c r="D45" s="46" t="n"/>
      <c r="E45" s="46" t="n"/>
      <c r="F45" s="46" t="n"/>
      <c r="G45" s="46" t="n"/>
    </row>
    <row r="46" ht="22.5" customHeight="1" s="23">
      <c r="A46" s="46" t="n"/>
      <c r="B46" s="46" t="n"/>
      <c r="C46" s="47" t="n"/>
      <c r="D46" s="46" t="n"/>
      <c r="E46" s="46" t="n"/>
      <c r="F46" s="46" t="n"/>
      <c r="G46" s="46" t="n"/>
    </row>
    <row r="47" ht="22.5" customHeight="1" s="23">
      <c r="A47" s="46" t="n"/>
      <c r="B47" s="46" t="n"/>
      <c r="C47" s="47" t="n"/>
      <c r="D47" s="46" t="n"/>
      <c r="E47" s="46" t="n"/>
      <c r="F47" s="46" t="n"/>
      <c r="G47" s="46" t="n"/>
    </row>
    <row r="48" ht="22.5" customHeight="1" s="23">
      <c r="A48" s="46" t="n"/>
      <c r="B48" s="46" t="n"/>
      <c r="C48" s="47" t="n"/>
      <c r="D48" s="46" t="n"/>
      <c r="E48" s="46" t="n"/>
      <c r="F48" s="46" t="n"/>
      <c r="G48" s="46" t="n"/>
    </row>
    <row r="49" ht="22.5" customHeight="1" s="23">
      <c r="A49" s="46" t="n"/>
      <c r="B49" s="46" t="n"/>
      <c r="C49" s="47" t="n"/>
      <c r="D49" s="46" t="n"/>
      <c r="E49" s="46" t="n"/>
      <c r="F49" s="46" t="n"/>
      <c r="G49" s="46" t="n"/>
    </row>
    <row r="50" ht="22.5" customHeight="1" s="23">
      <c r="A50" s="46" t="n"/>
      <c r="B50" s="46" t="n"/>
      <c r="C50" s="47" t="n"/>
      <c r="D50" s="46" t="n"/>
      <c r="E50" s="46" t="n"/>
      <c r="F50" s="46" t="n"/>
      <c r="G50" s="46" t="n"/>
    </row>
    <row r="51" ht="22.5" customHeight="1" s="23">
      <c r="A51" s="46" t="n"/>
      <c r="B51" s="46" t="n"/>
      <c r="C51" s="47" t="n"/>
      <c r="D51" s="46" t="n"/>
      <c r="E51" s="46" t="n"/>
      <c r="F51" s="46" t="n"/>
      <c r="G51" s="46" t="n"/>
    </row>
    <row r="52" ht="22.5" customHeight="1" s="23">
      <c r="A52" s="46" t="n"/>
      <c r="B52" s="46" t="n"/>
      <c r="C52" s="47" t="n"/>
      <c r="D52" s="46" t="n"/>
      <c r="E52" s="46" t="n"/>
      <c r="F52" s="46" t="n"/>
      <c r="G52" s="46" t="n"/>
    </row>
    <row r="53" ht="22.5" customHeight="1" s="23">
      <c r="A53" s="46" t="n"/>
      <c r="B53" s="46" t="n"/>
      <c r="C53" s="47" t="n"/>
      <c r="D53" s="46" t="n"/>
      <c r="E53" s="46" t="n"/>
      <c r="F53" s="46" t="n"/>
      <c r="G53" s="46" t="n"/>
    </row>
    <row r="54" ht="22.5" customHeight="1" s="23">
      <c r="A54" s="46" t="n"/>
      <c r="B54" s="46" t="n"/>
      <c r="C54" s="47" t="n"/>
      <c r="D54" s="46" t="n"/>
      <c r="E54" s="46" t="n"/>
      <c r="F54" s="46" t="n"/>
      <c r="G54" s="46" t="n"/>
    </row>
    <row r="55" ht="22.5" customHeight="1" s="23">
      <c r="A55" s="46" t="n"/>
      <c r="B55" s="46" t="n"/>
      <c r="C55" s="47" t="n"/>
      <c r="D55" s="46" t="n"/>
      <c r="E55" s="46" t="n"/>
      <c r="F55" s="46" t="n"/>
      <c r="G55" s="46" t="n"/>
    </row>
    <row r="56" ht="22.5" customHeight="1" s="23">
      <c r="A56" s="46" t="n"/>
      <c r="B56" s="46" t="n"/>
      <c r="C56" s="47" t="n"/>
      <c r="D56" s="46" t="n"/>
      <c r="E56" s="46" t="n"/>
      <c r="F56" s="46" t="n"/>
      <c r="G56" s="46" t="n"/>
    </row>
    <row r="57" ht="22.5" customHeight="1" s="23">
      <c r="A57" s="46" t="n"/>
      <c r="B57" s="46" t="n"/>
      <c r="C57" s="47" t="n"/>
      <c r="D57" s="46" t="n"/>
      <c r="E57" s="46" t="n"/>
      <c r="F57" s="46" t="n"/>
      <c r="G57" s="46" t="n"/>
    </row>
    <row r="58" ht="22.5" customHeight="1" s="23">
      <c r="A58" s="46" t="n"/>
      <c r="B58" s="46" t="n"/>
      <c r="C58" s="47" t="n"/>
      <c r="D58" s="46" t="n"/>
      <c r="E58" s="46" t="n"/>
      <c r="F58" s="46" t="n"/>
      <c r="G58" s="46" t="n"/>
    </row>
    <row r="59" ht="22.5" customHeight="1" s="23">
      <c r="A59" s="46" t="n"/>
      <c r="B59" s="46" t="n"/>
      <c r="C59" s="47" t="n"/>
      <c r="D59" s="46" t="n"/>
      <c r="E59" s="46" t="n"/>
      <c r="F59" s="46" t="n"/>
      <c r="G59" s="46" t="n"/>
    </row>
    <row r="60" ht="22.5" customHeight="1" s="23">
      <c r="A60" s="46" t="n"/>
      <c r="B60" s="46" t="n"/>
      <c r="C60" s="47" t="n"/>
      <c r="D60" s="46" t="n"/>
      <c r="E60" s="46" t="n"/>
      <c r="F60" s="46" t="n"/>
      <c r="G60" s="46" t="n"/>
    </row>
    <row r="61" ht="22.5" customHeight="1" s="23">
      <c r="A61" s="46" t="n"/>
      <c r="B61" s="46" t="n"/>
      <c r="C61" s="47" t="n"/>
      <c r="D61" s="46" t="n"/>
      <c r="E61" s="46" t="n"/>
      <c r="F61" s="46" t="n"/>
      <c r="G61" s="46" t="n"/>
    </row>
    <row r="62" ht="22.5" customHeight="1" s="23">
      <c r="A62" s="46" t="n"/>
      <c r="B62" s="46" t="n"/>
      <c r="C62" s="47" t="n"/>
      <c r="D62" s="46" t="n"/>
      <c r="E62" s="46" t="n"/>
      <c r="F62" s="46" t="n"/>
      <c r="G62" s="46" t="n"/>
    </row>
    <row r="63" ht="22.5" customHeight="1" s="23">
      <c r="A63" s="46" t="n"/>
      <c r="B63" s="46" t="n"/>
      <c r="C63" s="47" t="n"/>
      <c r="D63" s="46" t="n"/>
      <c r="E63" s="46" t="n"/>
      <c r="F63" s="46" t="n"/>
      <c r="G63" s="46" t="n"/>
    </row>
    <row r="64" ht="22.5" customHeight="1" s="23">
      <c r="A64" s="46" t="n"/>
      <c r="B64" s="46" t="n"/>
      <c r="C64" s="47" t="n"/>
      <c r="D64" s="46" t="n"/>
      <c r="E64" s="46" t="n"/>
      <c r="F64" s="46" t="n"/>
      <c r="G64" s="46" t="n"/>
    </row>
    <row r="65" ht="22.5" customHeight="1" s="23">
      <c r="A65" s="46" t="n"/>
      <c r="B65" s="46" t="n"/>
      <c r="C65" s="47" t="n"/>
      <c r="D65" s="46" t="n"/>
      <c r="E65" s="46" t="n"/>
      <c r="F65" s="46" t="n"/>
      <c r="G65" s="46" t="n"/>
    </row>
    <row r="66" ht="22.5" customHeight="1" s="23">
      <c r="A66" s="46" t="n"/>
      <c r="B66" s="46" t="n"/>
      <c r="C66" s="47" t="n"/>
      <c r="D66" s="46" t="n"/>
      <c r="E66" s="46" t="n"/>
      <c r="F66" s="46" t="n"/>
      <c r="G66" s="46" t="n"/>
    </row>
    <row r="67" ht="22.5" customHeight="1" s="23">
      <c r="A67" s="46" t="n"/>
      <c r="B67" s="46" t="n"/>
      <c r="C67" s="47" t="n"/>
      <c r="D67" s="46" t="n"/>
      <c r="E67" s="46" t="n"/>
      <c r="F67" s="46" t="n"/>
      <c r="G67" s="46" t="n"/>
    </row>
    <row r="68" ht="22.5" customHeight="1" s="23">
      <c r="A68" s="46" t="n"/>
      <c r="B68" s="46" t="n"/>
      <c r="C68" s="47" t="n"/>
      <c r="D68" s="46" t="n"/>
      <c r="E68" s="46" t="n"/>
      <c r="F68" s="46" t="n"/>
      <c r="G68" s="46" t="n"/>
    </row>
    <row r="69" ht="22.5" customHeight="1" s="23">
      <c r="A69" s="46" t="n"/>
      <c r="B69" s="46" t="n"/>
      <c r="C69" s="47" t="n"/>
      <c r="D69" s="46" t="n"/>
      <c r="E69" s="46" t="n"/>
      <c r="F69" s="46" t="n"/>
      <c r="G69" s="46" t="n"/>
    </row>
    <row r="70" ht="22.5" customHeight="1" s="23">
      <c r="A70" s="46" t="n"/>
      <c r="B70" s="46" t="n"/>
      <c r="C70" s="47" t="n"/>
      <c r="D70" s="46" t="n"/>
      <c r="E70" s="46" t="n"/>
      <c r="F70" s="46" t="n"/>
      <c r="G70" s="46" t="n"/>
    </row>
    <row r="71" ht="22.5" customHeight="1" s="23">
      <c r="A71" s="46" t="n"/>
      <c r="B71" s="46" t="n"/>
      <c r="C71" s="47" t="n"/>
      <c r="D71" s="46" t="n"/>
      <c r="E71" s="46" t="n"/>
      <c r="F71" s="46" t="n"/>
      <c r="G71" s="46" t="n"/>
    </row>
    <row r="72" ht="22.5" customHeight="1" s="23">
      <c r="A72" s="46" t="n"/>
      <c r="B72" s="46" t="n"/>
      <c r="C72" s="47" t="n"/>
      <c r="D72" s="46" t="n"/>
      <c r="E72" s="46" t="n"/>
      <c r="F72" s="46" t="n"/>
      <c r="G72" s="46" t="n"/>
    </row>
    <row r="73" ht="22.5" customHeight="1" s="23">
      <c r="A73" s="46" t="n"/>
      <c r="B73" s="46" t="n"/>
      <c r="C73" s="47" t="n"/>
      <c r="D73" s="46" t="n"/>
      <c r="E73" s="46" t="n"/>
      <c r="F73" s="46" t="n"/>
      <c r="G73" s="46" t="n"/>
    </row>
    <row r="74" ht="22.5" customHeight="1" s="23">
      <c r="A74" s="46" t="n"/>
      <c r="B74" s="46" t="n"/>
      <c r="C74" s="47" t="n"/>
      <c r="D74" s="46" t="n"/>
      <c r="E74" s="46" t="n"/>
      <c r="F74" s="46" t="n"/>
      <c r="G74" s="46" t="n"/>
    </row>
    <row r="75" ht="22.5" customHeight="1" s="23">
      <c r="A75" s="46" t="n"/>
      <c r="B75" s="46" t="n"/>
      <c r="C75" s="47" t="n"/>
      <c r="D75" s="46" t="n"/>
      <c r="E75" s="46" t="n"/>
      <c r="F75" s="46" t="n"/>
      <c r="G75" s="46" t="n"/>
    </row>
    <row r="76" ht="22.5" customHeight="1" s="23">
      <c r="A76" s="46" t="n"/>
      <c r="B76" s="46" t="n"/>
      <c r="C76" s="47" t="n"/>
      <c r="D76" s="46" t="n"/>
      <c r="E76" s="46" t="n"/>
      <c r="F76" s="46" t="n"/>
      <c r="G76" s="46" t="n"/>
    </row>
    <row r="77" ht="22.5" customHeight="1" s="23">
      <c r="A77" s="46" t="n"/>
      <c r="B77" s="46" t="n"/>
      <c r="C77" s="47" t="n"/>
      <c r="D77" s="46" t="n"/>
      <c r="E77" s="46" t="n"/>
      <c r="F77" s="46" t="n"/>
      <c r="G77" s="46" t="n"/>
    </row>
    <row r="78" ht="22.5" customHeight="1" s="23">
      <c r="A78" s="46" t="n"/>
      <c r="B78" s="46" t="n"/>
      <c r="C78" s="47" t="n"/>
      <c r="D78" s="46" t="n"/>
      <c r="E78" s="46" t="n"/>
      <c r="F78" s="46" t="n"/>
      <c r="G78" s="46" t="n"/>
    </row>
    <row r="79" ht="22.5" customHeight="1" s="23">
      <c r="A79" s="46" t="n"/>
      <c r="B79" s="46" t="n"/>
      <c r="C79" s="47" t="n"/>
      <c r="D79" s="46" t="n"/>
      <c r="E79" s="46" t="n"/>
      <c r="F79" s="46" t="n"/>
      <c r="G79" s="46" t="n"/>
    </row>
    <row r="80" ht="22.5" customHeight="1" s="23">
      <c r="A80" s="46" t="n"/>
      <c r="B80" s="46" t="n"/>
      <c r="C80" s="47" t="n"/>
      <c r="D80" s="46" t="n"/>
      <c r="E80" s="46" t="n"/>
      <c r="F80" s="46" t="n"/>
      <c r="G80" s="46" t="n"/>
    </row>
    <row r="81" ht="22.5" customHeight="1" s="23">
      <c r="A81" s="46" t="n"/>
      <c r="B81" s="46" t="n"/>
      <c r="C81" s="47" t="n"/>
      <c r="D81" s="46" t="n"/>
      <c r="E81" s="46" t="n"/>
      <c r="F81" s="46" t="n"/>
      <c r="G81" s="46" t="n"/>
    </row>
    <row r="82" ht="22.5" customHeight="1" s="23">
      <c r="A82" s="46" t="n"/>
      <c r="B82" s="46" t="n"/>
      <c r="C82" s="47" t="n"/>
      <c r="D82" s="46" t="n"/>
      <c r="E82" s="46" t="n"/>
      <c r="F82" s="46" t="n"/>
      <c r="G82" s="46" t="n"/>
    </row>
    <row r="83" ht="22.5" customHeight="1" s="23">
      <c r="A83" s="46" t="n"/>
      <c r="B83" s="46" t="n"/>
      <c r="C83" s="47" t="n"/>
      <c r="D83" s="46" t="n"/>
      <c r="E83" s="46" t="n"/>
      <c r="F83" s="46" t="n"/>
      <c r="G83" s="46" t="n"/>
    </row>
    <row r="84" ht="22.5" customHeight="1" s="23">
      <c r="A84" s="46" t="n"/>
      <c r="B84" s="46" t="n"/>
      <c r="C84" s="47" t="n"/>
      <c r="D84" s="46" t="n"/>
      <c r="E84" s="46" t="n"/>
      <c r="F84" s="46" t="n"/>
      <c r="G84" s="46" t="n"/>
    </row>
    <row r="85" ht="22.5" customHeight="1" s="23">
      <c r="A85" s="46" t="n"/>
      <c r="B85" s="46" t="n"/>
      <c r="C85" s="47" t="n"/>
      <c r="D85" s="46" t="n"/>
      <c r="E85" s="46" t="n"/>
      <c r="F85" s="46" t="n"/>
      <c r="G85" s="46" t="n"/>
    </row>
    <row r="86" ht="22.5" customHeight="1" s="23">
      <c r="A86" s="46" t="n"/>
      <c r="B86" s="46" t="n"/>
      <c r="C86" s="47" t="n"/>
      <c r="D86" s="46" t="n"/>
      <c r="E86" s="46" t="n"/>
      <c r="F86" s="46" t="n"/>
      <c r="G86" s="46" t="n"/>
    </row>
    <row r="87" ht="22.5" customHeight="1" s="23">
      <c r="A87" s="46" t="n"/>
      <c r="B87" s="46" t="n"/>
      <c r="C87" s="47" t="n"/>
      <c r="D87" s="46" t="n"/>
      <c r="E87" s="46" t="n"/>
      <c r="F87" s="46" t="n"/>
      <c r="G87" s="46" t="n"/>
    </row>
    <row r="88" ht="22.5" customHeight="1" s="23">
      <c r="A88" s="46" t="n"/>
      <c r="B88" s="46" t="n"/>
      <c r="C88" s="47" t="n"/>
      <c r="D88" s="46" t="n"/>
      <c r="E88" s="46" t="n"/>
      <c r="F88" s="46" t="n"/>
      <c r="G88" s="46" t="n"/>
    </row>
    <row r="89" ht="22.5" customHeight="1" s="23">
      <c r="A89" s="46" t="n"/>
      <c r="B89" s="46" t="n"/>
      <c r="C89" s="47" t="n"/>
      <c r="D89" s="46" t="n"/>
      <c r="E89" s="46" t="n"/>
      <c r="F89" s="46" t="n"/>
      <c r="G89" s="46" t="n"/>
    </row>
    <row r="90" ht="22.5" customHeight="1" s="23">
      <c r="A90" s="46" t="n"/>
      <c r="B90" s="46" t="n"/>
      <c r="C90" s="47" t="n"/>
      <c r="D90" s="46" t="n"/>
      <c r="E90" s="46" t="n"/>
      <c r="F90" s="46" t="n"/>
      <c r="G90" s="46" t="n"/>
    </row>
    <row r="91" ht="22.5" customHeight="1" s="23">
      <c r="A91" s="46" t="n"/>
      <c r="B91" s="46" t="n"/>
      <c r="C91" s="47" t="n"/>
      <c r="D91" s="46" t="n"/>
      <c r="E91" s="46" t="n"/>
      <c r="F91" s="46" t="n"/>
      <c r="G91" s="46" t="n"/>
    </row>
    <row r="92" ht="22.5" customHeight="1" s="23">
      <c r="A92" s="46" t="n"/>
      <c r="B92" s="46" t="n"/>
      <c r="C92" s="47" t="n"/>
      <c r="D92" s="46" t="n"/>
      <c r="E92" s="46" t="n"/>
      <c r="F92" s="46" t="n"/>
      <c r="G92" s="46" t="n"/>
    </row>
    <row r="93" ht="22.5" customHeight="1" s="23">
      <c r="A93" s="46" t="n"/>
      <c r="B93" s="46" t="n"/>
      <c r="C93" s="47" t="n"/>
      <c r="D93" s="46" t="n"/>
      <c r="E93" s="46" t="n"/>
      <c r="F93" s="46" t="n"/>
      <c r="G93" s="46" t="n"/>
    </row>
    <row r="94" ht="22.5" customHeight="1" s="23">
      <c r="A94" s="46" t="n"/>
      <c r="B94" s="46" t="n"/>
      <c r="C94" s="47" t="n"/>
      <c r="D94" s="46" t="n"/>
      <c r="E94" s="46" t="n"/>
      <c r="F94" s="46" t="n"/>
      <c r="G94" s="46" t="n"/>
    </row>
    <row r="95" ht="22.5" customHeight="1" s="23">
      <c r="A95" s="46" t="n"/>
      <c r="B95" s="46" t="n"/>
      <c r="C95" s="47" t="n"/>
      <c r="D95" s="46" t="n"/>
      <c r="E95" s="46" t="n"/>
      <c r="F95" s="46" t="n"/>
      <c r="G95" s="46" t="n"/>
    </row>
    <row r="96" ht="22.5" customHeight="1" s="23">
      <c r="A96" s="46" t="n"/>
      <c r="B96" s="46" t="n"/>
      <c r="C96" s="47" t="n"/>
      <c r="D96" s="46" t="n"/>
      <c r="E96" s="46" t="n"/>
      <c r="F96" s="46" t="n"/>
      <c r="G96" s="46" t="n"/>
    </row>
    <row r="97" ht="22.5" customHeight="1" s="23">
      <c r="A97" s="46" t="n"/>
      <c r="B97" s="46" t="n"/>
      <c r="C97" s="47" t="n"/>
      <c r="D97" s="46" t="n"/>
      <c r="E97" s="46" t="n"/>
      <c r="F97" s="46" t="n"/>
      <c r="G97" s="46" t="n"/>
    </row>
    <row r="98" ht="22.5" customHeight="1" s="23">
      <c r="A98" s="46" t="n"/>
      <c r="B98" s="46" t="n"/>
      <c r="C98" s="47" t="n"/>
      <c r="D98" s="46" t="n"/>
      <c r="E98" s="46" t="n"/>
      <c r="F98" s="46" t="n"/>
      <c r="G98" s="46" t="n"/>
    </row>
    <row r="99" ht="22.5" customHeight="1" s="23">
      <c r="A99" s="46" t="n"/>
      <c r="B99" s="46" t="n"/>
      <c r="C99" s="47" t="n"/>
      <c r="D99" s="46" t="n"/>
      <c r="E99" s="46" t="n"/>
      <c r="F99" s="46" t="n"/>
      <c r="G99" s="46" t="n"/>
    </row>
    <row r="100" ht="22.5" customHeight="1" s="23">
      <c r="A100" s="46" t="n"/>
      <c r="B100" s="46" t="n"/>
      <c r="C100" s="47" t="n"/>
      <c r="D100" s="46" t="n"/>
      <c r="E100" s="46" t="n"/>
      <c r="F100" s="46" t="n"/>
      <c r="G100" s="46" t="n"/>
    </row>
    <row r="101" ht="22.5" customHeight="1" s="23">
      <c r="A101" s="46" t="n"/>
      <c r="B101" s="46" t="n"/>
      <c r="C101" s="47" t="n"/>
      <c r="D101" s="46" t="n"/>
      <c r="E101" s="46" t="n"/>
      <c r="F101" s="46" t="n"/>
      <c r="G101" s="46" t="n"/>
    </row>
    <row r="102" ht="22.5" customHeight="1" s="23">
      <c r="A102" s="46" t="n"/>
      <c r="B102" s="46" t="n"/>
      <c r="C102" s="47" t="n"/>
      <c r="D102" s="46" t="n"/>
      <c r="E102" s="46" t="n"/>
      <c r="F102" s="46" t="n"/>
      <c r="G102" s="46" t="n"/>
    </row>
    <row r="103" ht="22.5" customHeight="1" s="23">
      <c r="A103" s="46" t="n"/>
      <c r="B103" s="46" t="n"/>
      <c r="C103" s="47" t="n"/>
      <c r="D103" s="46" t="n"/>
      <c r="E103" s="46" t="n"/>
      <c r="F103" s="46" t="n"/>
      <c r="G103" s="46" t="n"/>
    </row>
    <row r="104" ht="22.5" customHeight="1" s="23">
      <c r="A104" s="46" t="n"/>
      <c r="B104" s="46" t="n"/>
      <c r="C104" s="47" t="n"/>
      <c r="D104" s="46" t="n"/>
      <c r="E104" s="46" t="n"/>
      <c r="F104" s="46" t="n"/>
      <c r="G104" s="46" t="n"/>
    </row>
    <row r="105" ht="22.5" customHeight="1" s="23">
      <c r="A105" s="46" t="n"/>
      <c r="B105" s="46" t="n"/>
      <c r="C105" s="47" t="n"/>
      <c r="D105" s="46" t="n"/>
      <c r="E105" s="46" t="n"/>
      <c r="F105" s="46" t="n"/>
      <c r="G105" s="46" t="n"/>
    </row>
    <row r="106" ht="22.5" customHeight="1" s="23">
      <c r="A106" s="46" t="n"/>
      <c r="B106" s="46" t="n"/>
      <c r="C106" s="47" t="n"/>
      <c r="D106" s="46" t="n"/>
      <c r="E106" s="46" t="n"/>
      <c r="F106" s="46" t="n"/>
      <c r="G106" s="46" t="n"/>
    </row>
    <row r="107" ht="22.5" customHeight="1" s="23">
      <c r="A107" s="46" t="n"/>
      <c r="B107" s="46" t="n"/>
      <c r="C107" s="47" t="n"/>
      <c r="D107" s="46" t="n"/>
      <c r="E107" s="46" t="n"/>
      <c r="F107" s="46" t="n"/>
      <c r="G107" s="46" t="n"/>
    </row>
    <row r="108" ht="22.5" customHeight="1" s="23">
      <c r="A108" s="46" t="n"/>
      <c r="B108" s="46" t="n"/>
      <c r="C108" s="47" t="n"/>
      <c r="D108" s="46" t="n"/>
      <c r="E108" s="46" t="n"/>
      <c r="F108" s="46" t="n"/>
      <c r="G108" s="46" t="n"/>
    </row>
    <row r="109" ht="22.5" customHeight="1" s="23">
      <c r="A109" s="46" t="n"/>
      <c r="B109" s="46" t="n"/>
      <c r="C109" s="47" t="n"/>
      <c r="D109" s="46" t="n"/>
      <c r="E109" s="46" t="n"/>
      <c r="F109" s="46" t="n"/>
      <c r="G109" s="46" t="n"/>
    </row>
    <row r="110" ht="22.5" customHeight="1" s="23">
      <c r="A110" s="46" t="n"/>
      <c r="B110" s="46" t="n"/>
      <c r="C110" s="47" t="n"/>
      <c r="D110" s="46" t="n"/>
      <c r="E110" s="46" t="n"/>
      <c r="F110" s="46" t="n"/>
      <c r="G110" s="46" t="n"/>
    </row>
    <row r="111" ht="22.5" customHeight="1" s="23">
      <c r="A111" s="46" t="n"/>
      <c r="B111" s="46" t="n"/>
      <c r="C111" s="47" t="n"/>
      <c r="D111" s="46" t="n"/>
      <c r="E111" s="46" t="n"/>
      <c r="F111" s="46" t="n"/>
      <c r="G111" s="46" t="n"/>
    </row>
    <row r="112" ht="22.5" customHeight="1" s="23">
      <c r="A112" s="46" t="n"/>
      <c r="B112" s="46" t="n"/>
      <c r="C112" s="47" t="n"/>
      <c r="D112" s="46" t="n"/>
      <c r="E112" s="46" t="n"/>
      <c r="F112" s="46" t="n"/>
      <c r="G112" s="46" t="n"/>
    </row>
    <row r="113" ht="22.5" customHeight="1" s="23">
      <c r="A113" s="46" t="n"/>
      <c r="B113" s="46" t="n"/>
      <c r="C113" s="47" t="n"/>
      <c r="D113" s="46" t="n"/>
      <c r="E113" s="46" t="n"/>
      <c r="F113" s="46" t="n"/>
      <c r="G113" s="46" t="n"/>
    </row>
    <row r="114" ht="22.5" customHeight="1" s="23">
      <c r="A114" s="46" t="n"/>
      <c r="B114" s="46" t="n"/>
      <c r="C114" s="47" t="n"/>
      <c r="D114" s="46" t="n"/>
      <c r="E114" s="46" t="n"/>
      <c r="F114" s="46" t="n"/>
      <c r="G114" s="46" t="n"/>
    </row>
    <row r="115" ht="22.5" customHeight="1" s="23">
      <c r="A115" s="46" t="n"/>
      <c r="B115" s="46" t="n"/>
      <c r="C115" s="47" t="n"/>
      <c r="D115" s="46" t="n"/>
      <c r="E115" s="46" t="n"/>
      <c r="F115" s="46" t="n"/>
      <c r="G115" s="46" t="n"/>
    </row>
    <row r="116" ht="22.5" customHeight="1" s="23">
      <c r="A116" s="46" t="n"/>
      <c r="B116" s="46" t="n"/>
      <c r="C116" s="47" t="n"/>
      <c r="D116" s="46" t="n"/>
      <c r="E116" s="46" t="n"/>
      <c r="F116" s="46" t="n"/>
      <c r="G116" s="46" t="n"/>
    </row>
    <row r="117" ht="22.5" customHeight="1" s="23">
      <c r="A117" s="46" t="n"/>
      <c r="B117" s="46" t="n"/>
      <c r="C117" s="47" t="n"/>
      <c r="D117" s="46" t="n"/>
      <c r="E117" s="46" t="n"/>
      <c r="F117" s="46" t="n"/>
      <c r="G117" s="46" t="n"/>
    </row>
    <row r="118" ht="22.5" customHeight="1" s="23">
      <c r="A118" s="46" t="n"/>
      <c r="B118" s="46" t="n"/>
      <c r="C118" s="47" t="n"/>
      <c r="D118" s="46" t="n"/>
      <c r="E118" s="46" t="n"/>
      <c r="F118" s="46" t="n"/>
      <c r="G118" s="46" t="n"/>
    </row>
    <row r="119" ht="22.5" customHeight="1" s="23">
      <c r="A119" s="46" t="n"/>
      <c r="B119" s="46" t="n"/>
      <c r="C119" s="47" t="n"/>
      <c r="D119" s="46" t="n"/>
      <c r="E119" s="46" t="n"/>
      <c r="F119" s="46" t="n"/>
      <c r="G119" s="46" t="n"/>
    </row>
    <row r="120" ht="22.5" customHeight="1" s="23">
      <c r="A120" s="46" t="n"/>
      <c r="B120" s="46" t="n"/>
      <c r="C120" s="47" t="n"/>
      <c r="D120" s="46" t="n"/>
      <c r="E120" s="46" t="n"/>
      <c r="F120" s="46" t="n"/>
      <c r="G120" s="46" t="n"/>
    </row>
    <row r="121" ht="22.5" customHeight="1" s="23">
      <c r="A121" s="46" t="n"/>
      <c r="B121" s="46" t="n"/>
      <c r="C121" s="47" t="n"/>
      <c r="D121" s="46" t="n"/>
      <c r="E121" s="46" t="n"/>
      <c r="F121" s="46" t="n"/>
      <c r="G121" s="46" t="n"/>
    </row>
    <row r="122" ht="22.5" customHeight="1" s="23">
      <c r="A122" s="46" t="n"/>
      <c r="B122" s="46" t="n"/>
      <c r="C122" s="47" t="n"/>
      <c r="D122" s="46" t="n"/>
      <c r="E122" s="46" t="n"/>
      <c r="F122" s="46" t="n"/>
      <c r="G122" s="46" t="n"/>
    </row>
    <row r="123" ht="22.5" customHeight="1" s="23">
      <c r="A123" s="46" t="n"/>
      <c r="B123" s="46" t="n"/>
      <c r="C123" s="47" t="n"/>
      <c r="D123" s="46" t="n"/>
      <c r="E123" s="46" t="n"/>
      <c r="F123" s="46" t="n"/>
      <c r="G123" s="46" t="n"/>
    </row>
    <row r="124" ht="22.5" customHeight="1" s="23">
      <c r="A124" s="46" t="n"/>
      <c r="B124" s="46" t="n"/>
      <c r="C124" s="47" t="n"/>
      <c r="D124" s="46" t="n"/>
      <c r="E124" s="46" t="n"/>
      <c r="F124" s="46" t="n"/>
      <c r="G124" s="46" t="n"/>
    </row>
    <row r="125" ht="22.5" customHeight="1" s="23">
      <c r="A125" s="46" t="n"/>
      <c r="B125" s="46" t="n"/>
      <c r="C125" s="47" t="n"/>
      <c r="D125" s="46" t="n"/>
      <c r="E125" s="46" t="n"/>
      <c r="F125" s="46" t="n"/>
      <c r="G125" s="46" t="n"/>
    </row>
    <row r="126" ht="22.5" customHeight="1" s="23">
      <c r="A126" s="46" t="n"/>
      <c r="B126" s="46" t="n"/>
      <c r="C126" s="47" t="n"/>
      <c r="D126" s="46" t="n"/>
      <c r="E126" s="46" t="n"/>
      <c r="F126" s="46" t="n"/>
      <c r="G126" s="46" t="n"/>
    </row>
    <row r="127" ht="22.5" customHeight="1" s="23">
      <c r="A127" s="46" t="n"/>
      <c r="B127" s="46" t="n"/>
      <c r="C127" s="47" t="n"/>
      <c r="D127" s="46" t="n"/>
      <c r="E127" s="46" t="n"/>
      <c r="F127" s="46" t="n"/>
      <c r="G127" s="46" t="n"/>
    </row>
    <row r="128" ht="22.5" customHeight="1" s="23">
      <c r="A128" s="46" t="n"/>
      <c r="B128" s="46" t="n"/>
      <c r="C128" s="47" t="n"/>
      <c r="D128" s="46" t="n"/>
      <c r="E128" s="46" t="n"/>
      <c r="F128" s="46" t="n"/>
      <c r="G128" s="46" t="n"/>
    </row>
    <row r="129" ht="22.5" customHeight="1" s="23">
      <c r="A129" s="46" t="n"/>
      <c r="B129" s="46" t="n"/>
      <c r="C129" s="47" t="n"/>
      <c r="D129" s="46" t="n"/>
      <c r="E129" s="46" t="n"/>
      <c r="F129" s="46" t="n"/>
      <c r="G129" s="46" t="n"/>
    </row>
    <row r="130" ht="22.5" customHeight="1" s="23">
      <c r="A130" s="46" t="n"/>
      <c r="B130" s="46" t="n"/>
      <c r="C130" s="47" t="n"/>
      <c r="D130" s="46" t="n"/>
      <c r="E130" s="46" t="n"/>
      <c r="F130" s="46" t="n"/>
      <c r="G130" s="46" t="n"/>
    </row>
    <row r="131" ht="22.5" customHeight="1" s="23">
      <c r="A131" s="46" t="n"/>
      <c r="B131" s="46" t="n"/>
      <c r="C131" s="47" t="n"/>
      <c r="D131" s="46" t="n"/>
      <c r="E131" s="46" t="n"/>
      <c r="F131" s="46" t="n"/>
      <c r="G131" s="46" t="n"/>
    </row>
    <row r="132" ht="22.5" customHeight="1" s="23">
      <c r="A132" s="46" t="n"/>
      <c r="B132" s="46" t="n"/>
      <c r="C132" s="47" t="n"/>
      <c r="D132" s="46" t="n"/>
      <c r="E132" s="46" t="n"/>
      <c r="F132" s="46" t="n"/>
      <c r="G132" s="46" t="n"/>
    </row>
    <row r="133" ht="22.5" customHeight="1" s="23">
      <c r="A133" s="46" t="n"/>
      <c r="B133" s="46" t="n"/>
      <c r="C133" s="47" t="n"/>
      <c r="D133" s="46" t="n"/>
      <c r="E133" s="46" t="n"/>
      <c r="F133" s="46" t="n"/>
      <c r="G133" s="46" t="n"/>
    </row>
    <row r="134" ht="22.5" customHeight="1" s="23">
      <c r="A134" s="46" t="n"/>
      <c r="B134" s="46" t="n"/>
      <c r="C134" s="47" t="n"/>
      <c r="D134" s="46" t="n"/>
      <c r="E134" s="46" t="n"/>
      <c r="F134" s="46" t="n"/>
      <c r="G134" s="46" t="n"/>
    </row>
    <row r="135" ht="22.5" customHeight="1" s="23">
      <c r="A135" s="46" t="n"/>
      <c r="B135" s="46" t="n"/>
      <c r="C135" s="47" t="n"/>
      <c r="D135" s="46" t="n"/>
      <c r="E135" s="46" t="n"/>
      <c r="F135" s="46" t="n"/>
      <c r="G135" s="46" t="n"/>
    </row>
    <row r="136" ht="22.5" customHeight="1" s="23">
      <c r="A136" s="46" t="n"/>
      <c r="B136" s="46" t="n"/>
      <c r="C136" s="47" t="n"/>
      <c r="D136" s="46" t="n"/>
      <c r="E136" s="46" t="n"/>
      <c r="F136" s="46" t="n"/>
      <c r="G136" s="46" t="n"/>
    </row>
    <row r="137" ht="22.5" customHeight="1" s="23">
      <c r="A137" s="46" t="n"/>
      <c r="B137" s="46" t="n"/>
      <c r="C137" s="47" t="n"/>
      <c r="D137" s="46" t="n"/>
      <c r="E137" s="46" t="n"/>
      <c r="F137" s="46" t="n"/>
      <c r="G137" s="46" t="n"/>
    </row>
    <row r="138" ht="22.5" customHeight="1" s="23">
      <c r="A138" s="46" t="n"/>
      <c r="B138" s="46" t="n"/>
      <c r="C138" s="47" t="n"/>
      <c r="D138" s="46" t="n"/>
      <c r="E138" s="46" t="n"/>
      <c r="F138" s="46" t="n"/>
      <c r="G138" s="46" t="n"/>
    </row>
    <row r="139" ht="22.5" customHeight="1" s="23">
      <c r="A139" s="46" t="n"/>
      <c r="B139" s="46" t="n"/>
      <c r="C139" s="47" t="n"/>
      <c r="D139" s="46" t="n"/>
      <c r="E139" s="46" t="n"/>
      <c r="F139" s="46" t="n"/>
      <c r="G139" s="46" t="n"/>
    </row>
    <row r="140" ht="22.5" customHeight="1" s="23">
      <c r="A140" s="46" t="n"/>
      <c r="B140" s="46" t="n"/>
      <c r="C140" s="47" t="n"/>
      <c r="D140" s="46" t="n"/>
      <c r="E140" s="46" t="n"/>
      <c r="F140" s="46" t="n"/>
      <c r="G140" s="46" t="n"/>
    </row>
    <row r="141" ht="22.5" customHeight="1" s="23">
      <c r="A141" s="46" t="n"/>
      <c r="B141" s="46" t="n"/>
      <c r="C141" s="47" t="n"/>
      <c r="D141" s="46" t="n"/>
      <c r="E141" s="46" t="n"/>
      <c r="F141" s="46" t="n"/>
      <c r="G141" s="46" t="n"/>
    </row>
    <row r="142" ht="22.5" customHeight="1" s="23">
      <c r="A142" s="46" t="n"/>
      <c r="B142" s="46" t="n"/>
      <c r="C142" s="47" t="n"/>
      <c r="D142" s="46" t="n"/>
      <c r="E142" s="46" t="n"/>
      <c r="F142" s="46" t="n"/>
      <c r="G142" s="46" t="n"/>
    </row>
    <row r="143" ht="22.5" customHeight="1" s="23">
      <c r="A143" s="46" t="n"/>
      <c r="B143" s="46" t="n"/>
      <c r="C143" s="47" t="n"/>
      <c r="D143" s="46" t="n"/>
      <c r="E143" s="46" t="n"/>
      <c r="F143" s="46" t="n"/>
      <c r="G143" s="46" t="n"/>
    </row>
    <row r="144" ht="22.5" customHeight="1" s="23">
      <c r="A144" s="46" t="n"/>
      <c r="B144" s="46" t="n"/>
      <c r="C144" s="47" t="n"/>
      <c r="D144" s="46" t="n"/>
      <c r="E144" s="46" t="n"/>
      <c r="F144" s="46" t="n"/>
      <c r="G144" s="46" t="n"/>
    </row>
    <row r="145" ht="22.5" customHeight="1" s="23">
      <c r="A145" s="46" t="n"/>
      <c r="B145" s="46" t="n"/>
      <c r="C145" s="47" t="n"/>
      <c r="D145" s="46" t="n"/>
      <c r="E145" s="46" t="n"/>
      <c r="F145" s="46" t="n"/>
      <c r="G145" s="46" t="n"/>
    </row>
    <row r="146" ht="22.5" customHeight="1" s="23">
      <c r="A146" s="46" t="n"/>
      <c r="B146" s="46" t="n"/>
      <c r="C146" s="47" t="n"/>
      <c r="D146" s="46" t="n"/>
      <c r="E146" s="46" t="n"/>
      <c r="F146" s="46" t="n"/>
      <c r="G146" s="46" t="n"/>
    </row>
    <row r="147" ht="22.5" customHeight="1" s="23">
      <c r="A147" s="46" t="n"/>
      <c r="B147" s="46" t="n"/>
      <c r="C147" s="47" t="n"/>
      <c r="D147" s="46" t="n"/>
      <c r="E147" s="46" t="n"/>
      <c r="F147" s="46" t="n"/>
      <c r="G147" s="46" t="n"/>
    </row>
    <row r="148" ht="22.5" customHeight="1" s="23">
      <c r="A148" s="46" t="n"/>
      <c r="B148" s="46" t="n"/>
      <c r="C148" s="47" t="n"/>
      <c r="D148" s="46" t="n"/>
      <c r="E148" s="46" t="n"/>
      <c r="F148" s="46" t="n"/>
      <c r="G148" s="46" t="n"/>
    </row>
    <row r="149" ht="22.5" customHeight="1" s="23">
      <c r="A149" s="46" t="n"/>
      <c r="B149" s="46" t="n"/>
      <c r="C149" s="47" t="n"/>
      <c r="D149" s="46" t="n"/>
      <c r="E149" s="46" t="n"/>
      <c r="F149" s="46" t="n"/>
      <c r="G149" s="46" t="n"/>
    </row>
    <row r="150" ht="22.5" customHeight="1" s="23">
      <c r="A150" s="46" t="n"/>
      <c r="B150" s="46" t="n"/>
      <c r="C150" s="47" t="n"/>
      <c r="D150" s="46" t="n"/>
      <c r="E150" s="46" t="n"/>
      <c r="F150" s="46" t="n"/>
      <c r="G150" s="46" t="n"/>
    </row>
    <row r="151" ht="22.5" customHeight="1" s="23">
      <c r="A151" s="46" t="n"/>
      <c r="B151" s="46" t="n"/>
      <c r="C151" s="47" t="n"/>
      <c r="D151" s="46" t="n"/>
      <c r="E151" s="46" t="n"/>
      <c r="F151" s="46" t="n"/>
      <c r="G151" s="46" t="n"/>
    </row>
    <row r="152" ht="22.5" customHeight="1" s="23">
      <c r="A152" s="46" t="n"/>
      <c r="B152" s="46" t="n"/>
      <c r="C152" s="47" t="n"/>
      <c r="D152" s="46" t="n"/>
      <c r="E152" s="46" t="n"/>
      <c r="F152" s="46" t="n"/>
      <c r="G152" s="46" t="n"/>
    </row>
    <row r="153" ht="22.5" customHeight="1" s="23">
      <c r="A153" s="46" t="n"/>
      <c r="B153" s="46" t="n"/>
      <c r="C153" s="47" t="n"/>
      <c r="D153" s="46" t="n"/>
      <c r="E153" s="46" t="n"/>
      <c r="F153" s="46" t="n"/>
      <c r="G153" s="46" t="n"/>
    </row>
    <row r="154" ht="22.5" customHeight="1" s="23">
      <c r="A154" s="46" t="n"/>
      <c r="B154" s="46" t="n"/>
      <c r="C154" s="47" t="n"/>
      <c r="D154" s="46" t="n"/>
      <c r="E154" s="46" t="n"/>
      <c r="F154" s="46" t="n"/>
      <c r="G154" s="46" t="n"/>
    </row>
    <row r="155" ht="22.5" customHeight="1" s="23">
      <c r="A155" s="46" t="n"/>
      <c r="B155" s="46" t="n"/>
      <c r="C155" s="47" t="n"/>
      <c r="D155" s="46" t="n"/>
      <c r="E155" s="46" t="n"/>
      <c r="F155" s="46" t="n"/>
      <c r="G155" s="46" t="n"/>
    </row>
    <row r="156" ht="22.5" customHeight="1" s="23">
      <c r="A156" s="46" t="n"/>
      <c r="B156" s="46" t="n"/>
      <c r="C156" s="47" t="n"/>
      <c r="D156" s="46" t="n"/>
      <c r="E156" s="46" t="n"/>
      <c r="F156" s="46" t="n"/>
      <c r="G156" s="46" t="n"/>
    </row>
    <row r="157" ht="22.5" customHeight="1" s="23">
      <c r="A157" s="46" t="n"/>
      <c r="B157" s="46" t="n"/>
      <c r="C157" s="47" t="n"/>
      <c r="D157" s="46" t="n"/>
      <c r="E157" s="46" t="n"/>
      <c r="F157" s="46" t="n"/>
      <c r="G157" s="46" t="n"/>
    </row>
    <row r="158" ht="22.5" customHeight="1" s="23">
      <c r="A158" s="46" t="n"/>
      <c r="B158" s="46" t="n"/>
      <c r="C158" s="47" t="n"/>
      <c r="D158" s="46" t="n"/>
      <c r="E158" s="46" t="n"/>
      <c r="F158" s="46" t="n"/>
      <c r="G158" s="46" t="n"/>
    </row>
    <row r="159" ht="22.5" customHeight="1" s="23">
      <c r="A159" s="46" t="n"/>
      <c r="B159" s="46" t="n"/>
      <c r="C159" s="47" t="n"/>
      <c r="D159" s="46" t="n"/>
      <c r="E159" s="46" t="n"/>
      <c r="F159" s="46" t="n"/>
      <c r="G159" s="46" t="n"/>
    </row>
    <row r="160" ht="22.5" customHeight="1" s="23">
      <c r="A160" s="46" t="n"/>
      <c r="B160" s="46" t="n"/>
      <c r="C160" s="47" t="n"/>
      <c r="D160" s="46" t="n"/>
      <c r="E160" s="46" t="n"/>
      <c r="F160" s="46" t="n"/>
      <c r="G160" s="46" t="n"/>
    </row>
    <row r="161" ht="22.5" customHeight="1" s="23">
      <c r="A161" s="46" t="n"/>
      <c r="B161" s="46" t="n"/>
      <c r="C161" s="47" t="n"/>
      <c r="D161" s="46" t="n"/>
      <c r="E161" s="46" t="n"/>
      <c r="F161" s="46" t="n"/>
      <c r="G161" s="46" t="n"/>
    </row>
    <row r="162" ht="22.5" customHeight="1" s="23">
      <c r="A162" s="46" t="n"/>
      <c r="B162" s="46" t="n"/>
      <c r="C162" s="47" t="n"/>
      <c r="D162" s="46" t="n"/>
      <c r="E162" s="46" t="n"/>
      <c r="F162" s="46" t="n"/>
      <c r="G162" s="46" t="n"/>
    </row>
    <row r="163" ht="22.5" customHeight="1" s="23">
      <c r="A163" s="46" t="n"/>
      <c r="B163" s="46" t="n"/>
      <c r="C163" s="47" t="n"/>
      <c r="D163" s="46" t="n"/>
      <c r="E163" s="46" t="n"/>
      <c r="F163" s="46" t="n"/>
      <c r="G163" s="46" t="n"/>
    </row>
    <row r="164" ht="22.5" customHeight="1" s="23">
      <c r="A164" s="46" t="n"/>
      <c r="B164" s="46" t="n"/>
      <c r="C164" s="47" t="n"/>
      <c r="D164" s="46" t="n"/>
      <c r="E164" s="46" t="n"/>
      <c r="F164" s="46" t="n"/>
      <c r="G164" s="46" t="n"/>
    </row>
    <row r="165" ht="22.5" customHeight="1" s="23">
      <c r="A165" s="46" t="n"/>
      <c r="B165" s="46" t="n"/>
      <c r="C165" s="47" t="n"/>
      <c r="D165" s="46" t="n"/>
      <c r="E165" s="46" t="n"/>
      <c r="F165" s="46" t="n"/>
      <c r="G165" s="46" t="n"/>
    </row>
    <row r="166" ht="22.5" customHeight="1" s="23">
      <c r="A166" s="46" t="n"/>
      <c r="B166" s="46" t="n"/>
      <c r="C166" s="47" t="n"/>
      <c r="D166" s="46" t="n"/>
      <c r="E166" s="46" t="n"/>
      <c r="F166" s="46" t="n"/>
      <c r="G166" s="46" t="n"/>
    </row>
    <row r="167" ht="22.5" customHeight="1" s="23">
      <c r="A167" s="46" t="n"/>
      <c r="B167" s="46" t="n"/>
      <c r="C167" s="47" t="n"/>
      <c r="D167" s="46" t="n"/>
      <c r="E167" s="46" t="n"/>
      <c r="F167" s="46" t="n"/>
      <c r="G167" s="46" t="n"/>
    </row>
    <row r="168" ht="22.5" customHeight="1" s="23">
      <c r="A168" s="46" t="n"/>
      <c r="B168" s="46" t="n"/>
      <c r="C168" s="47" t="n"/>
      <c r="D168" s="46" t="n"/>
      <c r="E168" s="46" t="n"/>
      <c r="F168" s="46" t="n"/>
      <c r="G168" s="46" t="n"/>
    </row>
    <row r="169" ht="22.5" customHeight="1" s="23">
      <c r="A169" s="46" t="n"/>
      <c r="B169" s="46" t="n"/>
      <c r="C169" s="47" t="n"/>
      <c r="D169" s="46" t="n"/>
      <c r="E169" s="46" t="n"/>
      <c r="F169" s="46" t="n"/>
      <c r="G169" s="46" t="n"/>
    </row>
    <row r="170" ht="22.5" customHeight="1" s="23">
      <c r="A170" s="46" t="n"/>
      <c r="B170" s="46" t="n"/>
      <c r="C170" s="47" t="n"/>
      <c r="D170" s="46" t="n"/>
      <c r="E170" s="46" t="n"/>
      <c r="F170" s="46" t="n"/>
      <c r="G170" s="46" t="n"/>
    </row>
    <row r="171" ht="22.5" customHeight="1" s="23">
      <c r="A171" s="46" t="n"/>
      <c r="B171" s="46" t="n"/>
      <c r="C171" s="47" t="n"/>
      <c r="D171" s="46" t="n"/>
      <c r="E171" s="46" t="n"/>
      <c r="F171" s="46" t="n"/>
      <c r="G171" s="46" t="n"/>
    </row>
    <row r="172" ht="22.5" customHeight="1" s="23">
      <c r="A172" s="46" t="n"/>
      <c r="B172" s="46" t="n"/>
      <c r="C172" s="47" t="n"/>
      <c r="D172" s="46" t="n"/>
      <c r="E172" s="46" t="n"/>
      <c r="F172" s="46" t="n"/>
      <c r="G172" s="46" t="n"/>
    </row>
    <row r="173" ht="22.5" customHeight="1" s="23">
      <c r="A173" s="46" t="n"/>
      <c r="B173" s="46" t="n"/>
      <c r="C173" s="47" t="n"/>
      <c r="D173" s="46" t="n"/>
      <c r="E173" s="46" t="n"/>
      <c r="F173" s="46" t="n"/>
      <c r="G173" s="46" t="n"/>
    </row>
    <row r="174" ht="22.5" customHeight="1" s="23">
      <c r="A174" s="46" t="n"/>
      <c r="B174" s="46" t="n"/>
      <c r="C174" s="47" t="n"/>
      <c r="D174" s="46" t="n"/>
      <c r="E174" s="46" t="n"/>
      <c r="F174" s="46" t="n"/>
      <c r="G174" s="46" t="n"/>
    </row>
    <row r="175" ht="22.5" customHeight="1" s="23">
      <c r="A175" s="46" t="n"/>
      <c r="B175" s="46" t="n"/>
      <c r="C175" s="47" t="n"/>
      <c r="D175" s="46" t="n"/>
      <c r="E175" s="46" t="n"/>
      <c r="F175" s="46" t="n"/>
      <c r="G175" s="46" t="n"/>
    </row>
    <row r="176" ht="22.5" customHeight="1" s="23">
      <c r="A176" s="46" t="n"/>
      <c r="B176" s="46" t="n"/>
      <c r="C176" s="47" t="n"/>
      <c r="D176" s="46" t="n"/>
      <c r="E176" s="46" t="n"/>
      <c r="F176" s="46" t="n"/>
      <c r="G176" s="46" t="n"/>
    </row>
    <row r="177" ht="22.5" customHeight="1" s="23">
      <c r="A177" s="46" t="n"/>
      <c r="B177" s="46" t="n"/>
      <c r="C177" s="47" t="n"/>
      <c r="D177" s="46" t="n"/>
      <c r="E177" s="46" t="n"/>
      <c r="F177" s="46" t="n"/>
      <c r="G177" s="46" t="n"/>
    </row>
    <row r="178" ht="22.5" customHeight="1" s="23">
      <c r="A178" s="46" t="n"/>
      <c r="B178" s="46" t="n"/>
      <c r="C178" s="47" t="n"/>
      <c r="D178" s="46" t="n"/>
      <c r="E178" s="46" t="n"/>
      <c r="F178" s="46" t="n"/>
      <c r="G178" s="46" t="n"/>
    </row>
    <row r="179" ht="22.5" customHeight="1" s="23">
      <c r="A179" s="46" t="n"/>
      <c r="B179" s="46" t="n"/>
      <c r="C179" s="47" t="n"/>
      <c r="D179" s="46" t="n"/>
      <c r="E179" s="46" t="n"/>
      <c r="F179" s="46" t="n"/>
      <c r="G179" s="46" t="n"/>
    </row>
    <row r="180" ht="22.5" customHeight="1" s="23">
      <c r="A180" s="46" t="n"/>
      <c r="B180" s="46" t="n"/>
      <c r="C180" s="47" t="n"/>
      <c r="D180" s="46" t="n"/>
      <c r="E180" s="46" t="n"/>
      <c r="F180" s="46" t="n"/>
      <c r="G180" s="46" t="n"/>
    </row>
    <row r="181" ht="22.5" customHeight="1" s="23">
      <c r="A181" s="46" t="n"/>
      <c r="B181" s="46" t="n"/>
      <c r="C181" s="47" t="n"/>
      <c r="D181" s="46" t="n"/>
      <c r="E181" s="46" t="n"/>
      <c r="F181" s="46" t="n"/>
      <c r="G181" s="46" t="n"/>
    </row>
    <row r="182" ht="22.5" customHeight="1" s="23">
      <c r="A182" s="46" t="n"/>
      <c r="B182" s="46" t="n"/>
      <c r="C182" s="47" t="n"/>
      <c r="D182" s="46" t="n"/>
      <c r="E182" s="46" t="n"/>
      <c r="F182" s="46" t="n"/>
      <c r="G182" s="46" t="n"/>
    </row>
    <row r="183" ht="22.5" customHeight="1" s="23">
      <c r="A183" s="46" t="n"/>
      <c r="B183" s="46" t="n"/>
      <c r="C183" s="47" t="n"/>
      <c r="D183" s="46" t="n"/>
      <c r="E183" s="46" t="n"/>
      <c r="F183" s="46" t="n"/>
      <c r="G183" s="46" t="n"/>
    </row>
    <row r="184" ht="22.5" customHeight="1" s="23">
      <c r="A184" s="46" t="n"/>
      <c r="B184" s="46" t="n"/>
      <c r="C184" s="47" t="n"/>
      <c r="D184" s="46" t="n"/>
      <c r="E184" s="46" t="n"/>
      <c r="F184" s="46" t="n"/>
      <c r="G184" s="46" t="n"/>
    </row>
    <row r="185" ht="22.5" customHeight="1" s="23">
      <c r="A185" s="46" t="n"/>
      <c r="B185" s="46" t="n"/>
      <c r="C185" s="47" t="n"/>
      <c r="D185" s="46" t="n"/>
      <c r="E185" s="46" t="n"/>
      <c r="F185" s="46" t="n"/>
      <c r="G185" s="46" t="n"/>
    </row>
    <row r="186" ht="22.5" customHeight="1" s="23">
      <c r="A186" s="46" t="n"/>
      <c r="B186" s="46" t="n"/>
      <c r="C186" s="47" t="n"/>
      <c r="D186" s="46" t="n"/>
      <c r="E186" s="46" t="n"/>
      <c r="F186" s="46" t="n"/>
      <c r="G186" s="46" t="n"/>
    </row>
    <row r="187" ht="22.5" customHeight="1" s="23">
      <c r="A187" s="46" t="n"/>
      <c r="B187" s="46" t="n"/>
      <c r="C187" s="47" t="n"/>
      <c r="D187" s="46" t="n"/>
      <c r="E187" s="46" t="n"/>
      <c r="F187" s="46" t="n"/>
      <c r="G187" s="46" t="n"/>
    </row>
    <row r="188" ht="22.5" customHeight="1" s="23">
      <c r="A188" s="46" t="n"/>
      <c r="B188" s="46" t="n"/>
      <c r="C188" s="47" t="n"/>
      <c r="D188" s="46" t="n"/>
      <c r="E188" s="46" t="n"/>
      <c r="F188" s="46" t="n"/>
      <c r="G188" s="46" t="n"/>
    </row>
    <row r="189" ht="22.5" customHeight="1" s="23">
      <c r="A189" s="46" t="n"/>
      <c r="B189" s="46" t="n"/>
      <c r="C189" s="47" t="n"/>
      <c r="D189" s="46" t="n"/>
      <c r="E189" s="46" t="n"/>
      <c r="F189" s="46" t="n"/>
      <c r="G189" s="46" t="n"/>
    </row>
    <row r="190" ht="22.5" customHeight="1" s="23">
      <c r="A190" s="46" t="n"/>
      <c r="B190" s="46" t="n"/>
      <c r="C190" s="47" t="n"/>
      <c r="D190" s="46" t="n"/>
      <c r="E190" s="46" t="n"/>
      <c r="F190" s="46" t="n"/>
      <c r="G190" s="46" t="n"/>
    </row>
    <row r="191" ht="22.5" customHeight="1" s="23">
      <c r="A191" s="46" t="n"/>
      <c r="B191" s="46" t="n"/>
      <c r="C191" s="47" t="n"/>
      <c r="D191" s="46" t="n"/>
      <c r="E191" s="46" t="n"/>
      <c r="F191" s="46" t="n"/>
      <c r="G191" s="46" t="n"/>
    </row>
    <row r="192" ht="22.5" customHeight="1" s="23">
      <c r="A192" s="46" t="n"/>
      <c r="B192" s="46" t="n"/>
      <c r="C192" s="47" t="n"/>
      <c r="D192" s="46" t="n"/>
      <c r="E192" s="46" t="n"/>
      <c r="F192" s="46" t="n"/>
      <c r="G192" s="46" t="n"/>
    </row>
    <row r="193" ht="22.5" customHeight="1" s="23">
      <c r="A193" s="46" t="n"/>
      <c r="B193" s="46" t="n"/>
      <c r="C193" s="47" t="n"/>
      <c r="D193" s="46" t="n"/>
      <c r="E193" s="46" t="n"/>
      <c r="F193" s="46" t="n"/>
      <c r="G193" s="46" t="n"/>
    </row>
    <row r="194" ht="22.5" customHeight="1" s="23">
      <c r="A194" s="46" t="n"/>
      <c r="B194" s="46" t="n"/>
      <c r="C194" s="47" t="n"/>
      <c r="D194" s="46" t="n"/>
      <c r="E194" s="46" t="n"/>
      <c r="F194" s="46" t="n"/>
      <c r="G194" s="46" t="n"/>
    </row>
    <row r="195" ht="22.5" customHeight="1" s="23">
      <c r="A195" s="46" t="n"/>
      <c r="B195" s="46" t="n"/>
      <c r="C195" s="47" t="n"/>
      <c r="D195" s="46" t="n"/>
      <c r="E195" s="46" t="n"/>
      <c r="F195" s="46" t="n"/>
      <c r="G195" s="46" t="n"/>
    </row>
    <row r="196" ht="22.5" customHeight="1" s="23">
      <c r="A196" s="46" t="n"/>
      <c r="B196" s="46" t="n"/>
      <c r="C196" s="47" t="n"/>
      <c r="D196" s="46" t="n"/>
      <c r="E196" s="46" t="n"/>
      <c r="F196" s="46" t="n"/>
      <c r="G196" s="46" t="n"/>
    </row>
    <row r="197" ht="22.5" customHeight="1" s="23">
      <c r="A197" s="46" t="n"/>
      <c r="B197" s="46" t="n"/>
      <c r="C197" s="47" t="n"/>
      <c r="D197" s="46" t="n"/>
      <c r="E197" s="46" t="n"/>
      <c r="F197" s="46" t="n"/>
      <c r="G197" s="46" t="n"/>
    </row>
    <row r="198" ht="22.5" customHeight="1" s="23">
      <c r="A198" s="46" t="n"/>
      <c r="B198" s="46" t="n"/>
      <c r="C198" s="47" t="n"/>
      <c r="D198" s="46" t="n"/>
      <c r="E198" s="46" t="n"/>
      <c r="F198" s="46" t="n"/>
      <c r="G198" s="46" t="n"/>
    </row>
    <row r="199" ht="22.5" customHeight="1" s="23">
      <c r="A199" s="46" t="n"/>
      <c r="B199" s="46" t="n"/>
      <c r="C199" s="47" t="n"/>
      <c r="D199" s="46" t="n"/>
      <c r="E199" s="46" t="n"/>
      <c r="F199" s="46" t="n"/>
      <c r="G199" s="46" t="n"/>
    </row>
    <row r="200" ht="22.5" customHeight="1" s="23">
      <c r="A200" s="46" t="n"/>
      <c r="B200" s="46" t="n"/>
      <c r="C200" s="47" t="n"/>
      <c r="D200" s="46" t="n"/>
      <c r="E200" s="46" t="n"/>
      <c r="F200" s="46" t="n"/>
      <c r="G200" s="46" t="n"/>
    </row>
    <row r="201" ht="22.5" customHeight="1" s="23">
      <c r="A201" s="46" t="n"/>
      <c r="B201" s="46" t="n"/>
      <c r="C201" s="47" t="n"/>
      <c r="D201" s="46" t="n"/>
      <c r="E201" s="46" t="n"/>
      <c r="F201" s="46" t="n"/>
      <c r="G201" s="46" t="n"/>
    </row>
    <row r="202" ht="22.5" customHeight="1" s="23">
      <c r="A202" s="46" t="n"/>
      <c r="B202" s="46" t="n"/>
      <c r="C202" s="47" t="n"/>
      <c r="D202" s="46" t="n"/>
      <c r="E202" s="46" t="n"/>
      <c r="F202" s="46" t="n"/>
      <c r="G202" s="46" t="n"/>
    </row>
    <row r="203" ht="22.5" customHeight="1" s="23">
      <c r="A203" s="46" t="n"/>
      <c r="B203" s="46" t="n"/>
      <c r="C203" s="47" t="n"/>
      <c r="D203" s="46" t="n"/>
      <c r="E203" s="46" t="n"/>
      <c r="F203" s="46" t="n"/>
      <c r="G203" s="46" t="n"/>
    </row>
    <row r="204" ht="22.5" customHeight="1" s="23">
      <c r="A204" s="46" t="n"/>
      <c r="B204" s="46" t="n"/>
      <c r="C204" s="47" t="n"/>
      <c r="D204" s="46" t="n"/>
      <c r="E204" s="46" t="n"/>
      <c r="F204" s="46" t="n"/>
      <c r="G204" s="46" t="n"/>
    </row>
    <row r="205" ht="22.5" customHeight="1" s="23">
      <c r="A205" s="46" t="n"/>
      <c r="B205" s="46" t="n"/>
      <c r="C205" s="47" t="n"/>
      <c r="D205" s="46" t="n"/>
      <c r="E205" s="46" t="n"/>
      <c r="F205" s="46" t="n"/>
      <c r="G205" s="46" t="n"/>
    </row>
    <row r="206" ht="22.5" customHeight="1" s="23">
      <c r="A206" s="46" t="n"/>
      <c r="B206" s="46" t="n"/>
      <c r="C206" s="47" t="n"/>
      <c r="D206" s="46" t="n"/>
      <c r="E206" s="46" t="n"/>
      <c r="F206" s="46" t="n"/>
      <c r="G206" s="46" t="n"/>
    </row>
    <row r="207" ht="22.5" customHeight="1" s="23">
      <c r="A207" s="46" t="n"/>
      <c r="B207" s="46" t="n"/>
      <c r="C207" s="47" t="n"/>
      <c r="D207" s="46" t="n"/>
      <c r="E207" s="46" t="n"/>
      <c r="F207" s="46" t="n"/>
      <c r="G207" s="46" t="n"/>
    </row>
    <row r="208" ht="22.5" customHeight="1" s="23">
      <c r="A208" s="46" t="n"/>
      <c r="B208" s="46" t="n"/>
      <c r="C208" s="47" t="n"/>
      <c r="D208" s="46" t="n"/>
      <c r="E208" s="46" t="n"/>
      <c r="F208" s="46" t="n"/>
      <c r="G208" s="46" t="n"/>
    </row>
    <row r="209" ht="22.5" customHeight="1" s="23">
      <c r="A209" s="46" t="n"/>
      <c r="B209" s="46" t="n"/>
      <c r="C209" s="47" t="n"/>
      <c r="D209" s="46" t="n"/>
      <c r="E209" s="46" t="n"/>
      <c r="F209" s="46" t="n"/>
      <c r="G209" s="46" t="n"/>
    </row>
    <row r="210" ht="22.5" customHeight="1" s="23">
      <c r="A210" s="46" t="n"/>
      <c r="B210" s="46" t="n"/>
      <c r="C210" s="47" t="n"/>
      <c r="D210" s="46" t="n"/>
      <c r="E210" s="46" t="n"/>
      <c r="F210" s="46" t="n"/>
      <c r="G210" s="46" t="n"/>
    </row>
    <row r="211" ht="22.5" customHeight="1" s="23">
      <c r="A211" s="46" t="n"/>
      <c r="B211" s="46" t="n"/>
      <c r="C211" s="47" t="n"/>
      <c r="D211" s="46" t="n"/>
      <c r="E211" s="46" t="n"/>
      <c r="F211" s="46" t="n"/>
      <c r="G211" s="46" t="n"/>
    </row>
    <row r="212" ht="22.5" customHeight="1" s="23">
      <c r="A212" s="46" t="n"/>
      <c r="B212" s="46" t="n"/>
      <c r="C212" s="47" t="n"/>
      <c r="D212" s="46" t="n"/>
      <c r="E212" s="46" t="n"/>
      <c r="F212" s="46" t="n"/>
      <c r="G212" s="46" t="n"/>
    </row>
    <row r="213" ht="22.5" customHeight="1" s="23">
      <c r="A213" s="46" t="n"/>
      <c r="B213" s="46" t="n"/>
      <c r="C213" s="47" t="n"/>
      <c r="D213" s="46" t="n"/>
      <c r="E213" s="46" t="n"/>
      <c r="F213" s="46" t="n"/>
      <c r="G213" s="46" t="n"/>
    </row>
    <row r="214" ht="22.5" customHeight="1" s="23">
      <c r="A214" s="46" t="n"/>
      <c r="B214" s="46" t="n"/>
      <c r="C214" s="47" t="n"/>
      <c r="D214" s="46" t="n"/>
      <c r="E214" s="46" t="n"/>
      <c r="F214" s="46" t="n"/>
      <c r="G214" s="46" t="n"/>
    </row>
    <row r="215" ht="22.5" customHeight="1" s="23">
      <c r="A215" s="46" t="n"/>
      <c r="B215" s="46" t="n"/>
      <c r="C215" s="47" t="n"/>
      <c r="D215" s="46" t="n"/>
      <c r="E215" s="46" t="n"/>
      <c r="F215" s="46" t="n"/>
      <c r="G215" s="46" t="n"/>
    </row>
    <row r="216" ht="22.5" customHeight="1" s="23">
      <c r="A216" s="46" t="n"/>
      <c r="B216" s="46" t="n"/>
      <c r="C216" s="47" t="n"/>
      <c r="D216" s="46" t="n"/>
      <c r="E216" s="46" t="n"/>
      <c r="F216" s="46" t="n"/>
      <c r="G216" s="46" t="n"/>
    </row>
    <row r="217" ht="22.5" customHeight="1" s="23">
      <c r="A217" s="46" t="n"/>
      <c r="B217" s="46" t="n"/>
      <c r="C217" s="47" t="n"/>
      <c r="D217" s="46" t="n"/>
      <c r="E217" s="46" t="n"/>
      <c r="F217" s="46" t="n"/>
      <c r="G217" s="46" t="n"/>
    </row>
    <row r="218" ht="22.5" customHeight="1" s="23">
      <c r="A218" s="46" t="n"/>
      <c r="B218" s="46" t="n"/>
      <c r="C218" s="47" t="n"/>
      <c r="D218" s="46" t="n"/>
      <c r="E218" s="46" t="n"/>
      <c r="F218" s="46" t="n"/>
      <c r="G218" s="46" t="n"/>
    </row>
    <row r="219" ht="22.5" customHeight="1" s="23">
      <c r="A219" s="46" t="n"/>
      <c r="B219" s="46" t="n"/>
      <c r="C219" s="47" t="n"/>
      <c r="D219" s="46" t="n"/>
      <c r="E219" s="46" t="n"/>
      <c r="F219" s="46" t="n"/>
      <c r="G219" s="46" t="n"/>
    </row>
    <row r="220" ht="22.5" customHeight="1" s="23">
      <c r="A220" s="46" t="n"/>
      <c r="B220" s="46" t="n"/>
      <c r="C220" s="47" t="n"/>
      <c r="D220" s="46" t="n"/>
      <c r="E220" s="46" t="n"/>
      <c r="F220" s="46" t="n"/>
      <c r="G220" s="46" t="n"/>
    </row>
    <row r="221" ht="22.5" customHeight="1" s="23">
      <c r="A221" s="46" t="n"/>
      <c r="B221" s="46" t="n"/>
      <c r="C221" s="47" t="n"/>
      <c r="D221" s="46" t="n"/>
      <c r="E221" s="46" t="n"/>
      <c r="F221" s="46" t="n"/>
      <c r="G221" s="46" t="n"/>
    </row>
    <row r="222" ht="22.5" customHeight="1" s="23">
      <c r="A222" s="46" t="n"/>
      <c r="B222" s="46" t="n"/>
      <c r="C222" s="47" t="n"/>
      <c r="D222" s="46" t="n"/>
      <c r="E222" s="46" t="n"/>
      <c r="F222" s="46" t="n"/>
      <c r="G222" s="46" t="n"/>
    </row>
    <row r="223" ht="22.5" customHeight="1" s="23">
      <c r="A223" s="46" t="n"/>
      <c r="B223" s="46" t="n"/>
      <c r="C223" s="47" t="n"/>
      <c r="D223" s="46" t="n"/>
      <c r="E223" s="46" t="n"/>
      <c r="F223" s="46" t="n"/>
      <c r="G223" s="46" t="n"/>
    </row>
    <row r="224" ht="22.5" customHeight="1" s="23">
      <c r="A224" s="46" t="n"/>
      <c r="B224" s="46" t="n"/>
      <c r="C224" s="47" t="n"/>
      <c r="D224" s="46" t="n"/>
      <c r="E224" s="46" t="n"/>
      <c r="F224" s="46" t="n"/>
      <c r="G224" s="46" t="n"/>
    </row>
    <row r="225" ht="22.5" customHeight="1" s="23">
      <c r="A225" s="46" t="n"/>
      <c r="B225" s="46" t="n"/>
      <c r="C225" s="47" t="n"/>
      <c r="D225" s="46" t="n"/>
      <c r="E225" s="46" t="n"/>
      <c r="F225" s="46" t="n"/>
      <c r="G225" s="46" t="n"/>
    </row>
    <row r="226" ht="22.5" customHeight="1" s="23">
      <c r="A226" s="46" t="n"/>
      <c r="B226" s="46" t="n"/>
      <c r="C226" s="47" t="n"/>
      <c r="D226" s="46" t="n"/>
      <c r="E226" s="46" t="n"/>
      <c r="F226" s="46" t="n"/>
      <c r="G226" s="46" t="n"/>
    </row>
    <row r="227" ht="22.5" customHeight="1" s="23">
      <c r="A227" s="46" t="n"/>
      <c r="B227" s="46" t="n"/>
      <c r="C227" s="47" t="n"/>
      <c r="D227" s="46" t="n"/>
      <c r="E227" s="46" t="n"/>
      <c r="F227" s="46" t="n"/>
      <c r="G227" s="46" t="n"/>
    </row>
    <row r="228" ht="22.5" customHeight="1" s="23">
      <c r="A228" s="46" t="n"/>
      <c r="B228" s="46" t="n"/>
      <c r="C228" s="47" t="n"/>
      <c r="D228" s="46" t="n"/>
      <c r="E228" s="46" t="n"/>
      <c r="F228" s="46" t="n"/>
      <c r="G228" s="46" t="n"/>
    </row>
    <row r="229" ht="22.5" customHeight="1" s="23">
      <c r="A229" s="46" t="n"/>
      <c r="B229" s="46" t="n"/>
      <c r="C229" s="47" t="n"/>
      <c r="D229" s="46" t="n"/>
      <c r="E229" s="46" t="n"/>
      <c r="F229" s="46" t="n"/>
      <c r="G229" s="46" t="n"/>
    </row>
    <row r="230" ht="22.5" customHeight="1" s="23">
      <c r="A230" s="46" t="n"/>
      <c r="B230" s="46" t="n"/>
      <c r="C230" s="47" t="n"/>
      <c r="D230" s="46" t="n"/>
      <c r="E230" s="46" t="n"/>
      <c r="F230" s="46" t="n"/>
      <c r="G230" s="46" t="n"/>
    </row>
    <row r="231" ht="22.5" customHeight="1" s="23">
      <c r="A231" s="46" t="n"/>
      <c r="B231" s="46" t="n"/>
      <c r="C231" s="47" t="n"/>
      <c r="D231" s="46" t="n"/>
      <c r="E231" s="46" t="n"/>
      <c r="F231" s="46" t="n"/>
      <c r="G231" s="46" t="n"/>
    </row>
    <row r="232" ht="22.5" customHeight="1" s="23">
      <c r="A232" s="46" t="n"/>
      <c r="B232" s="46" t="n"/>
      <c r="C232" s="47" t="n"/>
      <c r="D232" s="46" t="n"/>
      <c r="E232" s="46" t="n"/>
      <c r="F232" s="46" t="n"/>
      <c r="G232" s="46" t="n"/>
    </row>
    <row r="233" ht="22.5" customHeight="1" s="23">
      <c r="A233" s="46" t="n"/>
      <c r="B233" s="46" t="n"/>
      <c r="C233" s="47" t="n"/>
      <c r="D233" s="46" t="n"/>
      <c r="E233" s="46" t="n"/>
      <c r="F233" s="46" t="n"/>
      <c r="G233" s="46" t="n"/>
    </row>
    <row r="234" ht="22.5" customHeight="1" s="23">
      <c r="A234" s="46" t="n"/>
      <c r="B234" s="46" t="n"/>
      <c r="C234" s="47" t="n"/>
      <c r="D234" s="46" t="n"/>
      <c r="E234" s="46" t="n"/>
      <c r="F234" s="46" t="n"/>
      <c r="G234" s="46" t="n"/>
    </row>
    <row r="235" ht="22.5" customHeight="1" s="23">
      <c r="A235" s="46" t="n"/>
      <c r="B235" s="46" t="n"/>
      <c r="C235" s="47" t="n"/>
      <c r="D235" s="46" t="n"/>
      <c r="E235" s="46" t="n"/>
      <c r="F235" s="46" t="n"/>
      <c r="G235" s="46" t="n"/>
    </row>
    <row r="236" ht="22.5" customHeight="1" s="23">
      <c r="A236" s="46" t="n"/>
      <c r="B236" s="46" t="n"/>
      <c r="C236" s="47" t="n"/>
      <c r="D236" s="46" t="n"/>
      <c r="E236" s="46" t="n"/>
      <c r="F236" s="46" t="n"/>
      <c r="G236" s="46" t="n"/>
    </row>
    <row r="237" ht="22.5" customHeight="1" s="23">
      <c r="A237" s="46" t="n"/>
      <c r="B237" s="46" t="n"/>
      <c r="C237" s="47" t="n"/>
      <c r="D237" s="46" t="n"/>
      <c r="E237" s="46" t="n"/>
      <c r="F237" s="46" t="n"/>
      <c r="G237" s="46" t="n"/>
    </row>
    <row r="238" ht="22.5" customHeight="1" s="23">
      <c r="A238" s="46" t="n"/>
      <c r="B238" s="46" t="n"/>
      <c r="C238" s="47" t="n"/>
      <c r="D238" s="46" t="n"/>
      <c r="E238" s="46" t="n"/>
      <c r="F238" s="46" t="n"/>
      <c r="G238" s="46" t="n"/>
    </row>
    <row r="239" ht="22.5" customHeight="1" s="23">
      <c r="A239" s="46" t="n"/>
      <c r="B239" s="46" t="n"/>
      <c r="C239" s="47" t="n"/>
      <c r="D239" s="46" t="n"/>
      <c r="E239" s="46" t="n"/>
      <c r="F239" s="46" t="n"/>
      <c r="G239" s="46" t="n"/>
    </row>
    <row r="240" ht="22.5" customHeight="1" s="23">
      <c r="A240" s="46" t="n"/>
      <c r="B240" s="46" t="n"/>
      <c r="C240" s="47" t="n"/>
      <c r="D240" s="46" t="n"/>
      <c r="E240" s="46" t="n"/>
      <c r="F240" s="46" t="n"/>
      <c r="G240" s="46" t="n"/>
    </row>
    <row r="241" ht="22.5" customHeight="1" s="23">
      <c r="A241" s="46" t="n"/>
      <c r="B241" s="46" t="n"/>
      <c r="C241" s="47" t="n"/>
      <c r="D241" s="46" t="n"/>
      <c r="E241" s="46" t="n"/>
      <c r="F241" s="46" t="n"/>
      <c r="G241" s="46" t="n"/>
    </row>
    <row r="242" ht="22.5" customHeight="1" s="23">
      <c r="A242" s="46" t="n"/>
      <c r="B242" s="46" t="n"/>
      <c r="C242" s="47" t="n"/>
      <c r="D242" s="46" t="n"/>
      <c r="E242" s="46" t="n"/>
      <c r="F242" s="46" t="n"/>
      <c r="G242" s="46" t="n"/>
    </row>
    <row r="243" ht="22.5" customHeight="1" s="23">
      <c r="A243" s="46" t="n"/>
      <c r="B243" s="46" t="n"/>
      <c r="C243" s="47" t="n"/>
      <c r="D243" s="46" t="n"/>
      <c r="E243" s="46" t="n"/>
      <c r="F243" s="46" t="n"/>
      <c r="G243" s="46" t="n"/>
    </row>
    <row r="244" ht="22.5" customHeight="1" s="23">
      <c r="A244" s="46" t="n"/>
      <c r="B244" s="46" t="n"/>
      <c r="C244" s="47" t="n"/>
      <c r="D244" s="46" t="n"/>
      <c r="E244" s="46" t="n"/>
      <c r="F244" s="46" t="n"/>
      <c r="G244" s="46" t="n"/>
    </row>
    <row r="245" ht="22.5" customHeight="1" s="23">
      <c r="A245" s="46" t="n"/>
      <c r="B245" s="46" t="n"/>
      <c r="C245" s="47" t="n"/>
      <c r="D245" s="46" t="n"/>
      <c r="E245" s="46" t="n"/>
      <c r="F245" s="46" t="n"/>
      <c r="G245" s="46" t="n"/>
    </row>
    <row r="246" ht="22.5" customHeight="1" s="23">
      <c r="A246" s="46" t="n"/>
      <c r="B246" s="46" t="n"/>
      <c r="C246" s="47" t="n"/>
      <c r="D246" s="46" t="n"/>
      <c r="E246" s="46" t="n"/>
      <c r="F246" s="46" t="n"/>
      <c r="G246" s="46" t="n"/>
    </row>
    <row r="247" ht="22.5" customHeight="1" s="23">
      <c r="A247" s="46" t="n"/>
      <c r="B247" s="46" t="n"/>
      <c r="C247" s="47" t="n"/>
      <c r="D247" s="46" t="n"/>
      <c r="E247" s="46" t="n"/>
      <c r="F247" s="46" t="n"/>
      <c r="G247" s="46" t="n"/>
    </row>
    <row r="248" ht="22.5" customHeight="1" s="23">
      <c r="A248" s="46" t="n"/>
      <c r="B248" s="46" t="n"/>
      <c r="C248" s="47" t="n"/>
      <c r="D248" s="46" t="n"/>
      <c r="E248" s="46" t="n"/>
      <c r="F248" s="46" t="n"/>
      <c r="G248" s="46" t="n"/>
    </row>
    <row r="249" ht="22.5" customHeight="1" s="23">
      <c r="A249" s="46" t="n"/>
      <c r="B249" s="46" t="n"/>
      <c r="C249" s="47" t="n"/>
      <c r="D249" s="46" t="n"/>
      <c r="E249" s="46" t="n"/>
      <c r="F249" s="46" t="n"/>
      <c r="G249" s="46" t="n"/>
    </row>
    <row r="250" ht="22.5" customHeight="1" s="23">
      <c r="A250" s="46" t="n"/>
      <c r="B250" s="46" t="n"/>
      <c r="C250" s="47" t="n"/>
      <c r="D250" s="46" t="n"/>
      <c r="E250" s="46" t="n"/>
      <c r="F250" s="46" t="n"/>
      <c r="G250" s="46" t="n"/>
    </row>
    <row r="251" ht="22.5" customHeight="1" s="23">
      <c r="A251" s="46" t="n"/>
      <c r="B251" s="46" t="n"/>
      <c r="C251" s="47" t="n"/>
      <c r="D251" s="46" t="n"/>
      <c r="E251" s="46" t="n"/>
      <c r="F251" s="46" t="n"/>
      <c r="G251" s="46" t="n"/>
    </row>
    <row r="252" ht="22.5" customHeight="1" s="23">
      <c r="A252" s="46" t="n"/>
      <c r="B252" s="46" t="n"/>
      <c r="C252" s="47" t="n"/>
      <c r="D252" s="46" t="n"/>
      <c r="E252" s="46" t="n"/>
      <c r="F252" s="46" t="n"/>
      <c r="G252" s="46" t="n"/>
    </row>
    <row r="253" ht="22.5" customHeight="1" s="23">
      <c r="A253" s="46" t="n"/>
      <c r="B253" s="46" t="n"/>
      <c r="C253" s="47" t="n"/>
      <c r="D253" s="46" t="n"/>
      <c r="E253" s="46" t="n"/>
      <c r="F253" s="46" t="n"/>
      <c r="G253" s="46" t="n"/>
    </row>
    <row r="254" ht="22.5" customHeight="1" s="23">
      <c r="A254" s="46" t="n"/>
      <c r="B254" s="46" t="n"/>
      <c r="C254" s="47" t="n"/>
      <c r="D254" s="46" t="n"/>
      <c r="E254" s="46" t="n"/>
      <c r="F254" s="46" t="n"/>
      <c r="G254" s="46" t="n"/>
    </row>
    <row r="255" ht="22.5" customHeight="1" s="23">
      <c r="A255" s="46" t="n"/>
      <c r="B255" s="46" t="n"/>
      <c r="C255" s="47" t="n"/>
      <c r="D255" s="46" t="n"/>
      <c r="E255" s="46" t="n"/>
      <c r="F255" s="46" t="n"/>
      <c r="G255" s="46" t="n"/>
    </row>
    <row r="256" ht="22.5" customHeight="1" s="23">
      <c r="A256" s="46" t="n"/>
      <c r="B256" s="46" t="n"/>
      <c r="C256" s="47" t="n"/>
      <c r="D256" s="46" t="n"/>
      <c r="E256" s="46" t="n"/>
      <c r="F256" s="46" t="n"/>
      <c r="G256" s="46" t="n"/>
    </row>
    <row r="257" ht="22.5" customHeight="1" s="23">
      <c r="A257" s="46" t="n"/>
      <c r="B257" s="46" t="n"/>
      <c r="C257" s="47" t="n"/>
      <c r="D257" s="46" t="n"/>
      <c r="E257" s="46" t="n"/>
      <c r="F257" s="46" t="n"/>
      <c r="G257" s="46" t="n"/>
    </row>
    <row r="258" ht="22.5" customHeight="1" s="23">
      <c r="A258" s="46" t="n"/>
      <c r="B258" s="46" t="n"/>
      <c r="C258" s="47" t="n"/>
      <c r="D258" s="46" t="n"/>
      <c r="E258" s="46" t="n"/>
      <c r="F258" s="46" t="n"/>
      <c r="G258" s="46" t="n"/>
    </row>
    <row r="259" ht="22.5" customHeight="1" s="23">
      <c r="A259" s="46" t="n"/>
      <c r="B259" s="46" t="n"/>
      <c r="C259" s="47" t="n"/>
      <c r="D259" s="46" t="n"/>
      <c r="E259" s="46" t="n"/>
      <c r="F259" s="46" t="n"/>
      <c r="G259" s="46" t="n"/>
    </row>
    <row r="260" ht="22.5" customHeight="1" s="23">
      <c r="A260" s="46" t="n"/>
      <c r="B260" s="46" t="n"/>
      <c r="C260" s="47" t="n"/>
      <c r="D260" s="46" t="n"/>
      <c r="E260" s="46" t="n"/>
      <c r="F260" s="46" t="n"/>
      <c r="G260" s="46" t="n"/>
    </row>
    <row r="261" ht="22.5" customHeight="1" s="23">
      <c r="A261" s="46" t="n"/>
      <c r="B261" s="46" t="n"/>
      <c r="C261" s="47" t="n"/>
      <c r="D261" s="46" t="n"/>
      <c r="E261" s="46" t="n"/>
      <c r="F261" s="46" t="n"/>
      <c r="G261" s="46" t="n"/>
    </row>
    <row r="262" ht="22.5" customHeight="1" s="23">
      <c r="A262" s="46" t="n"/>
      <c r="B262" s="46" t="n"/>
      <c r="C262" s="47" t="n"/>
      <c r="D262" s="46" t="n"/>
      <c r="E262" s="46" t="n"/>
      <c r="F262" s="46" t="n"/>
      <c r="G262" s="46" t="n"/>
    </row>
    <row r="263" ht="22.5" customHeight="1" s="23">
      <c r="A263" s="46" t="n"/>
      <c r="B263" s="46" t="n"/>
      <c r="C263" s="47" t="n"/>
      <c r="D263" s="46" t="n"/>
      <c r="E263" s="46" t="n"/>
      <c r="F263" s="46" t="n"/>
      <c r="G263" s="46" t="n"/>
    </row>
    <row r="264" ht="22.5" customHeight="1" s="23">
      <c r="A264" s="46" t="n"/>
      <c r="B264" s="46" t="n"/>
      <c r="C264" s="47" t="n"/>
      <c r="D264" s="46" t="n"/>
      <c r="E264" s="46" t="n"/>
      <c r="F264" s="46" t="n"/>
      <c r="G264" s="46" t="n"/>
    </row>
    <row r="265" ht="22.5" customHeight="1" s="23">
      <c r="A265" s="46" t="n"/>
      <c r="B265" s="46" t="n"/>
      <c r="C265" s="47" t="n"/>
      <c r="D265" s="46" t="n"/>
      <c r="E265" s="46" t="n"/>
      <c r="F265" s="46" t="n"/>
      <c r="G265" s="46" t="n"/>
    </row>
    <row r="266" ht="22.5" customHeight="1" s="23">
      <c r="A266" s="46" t="n"/>
      <c r="B266" s="46" t="n"/>
      <c r="C266" s="47" t="n"/>
      <c r="D266" s="46" t="n"/>
      <c r="E266" s="46" t="n"/>
      <c r="F266" s="46" t="n"/>
      <c r="G266" s="46" t="n"/>
    </row>
    <row r="267" ht="22.5" customHeight="1" s="23">
      <c r="A267" s="46" t="n"/>
      <c r="B267" s="46" t="n"/>
      <c r="C267" s="47" t="n"/>
      <c r="D267" s="46" t="n"/>
      <c r="E267" s="46" t="n"/>
      <c r="F267" s="46" t="n"/>
      <c r="G267" s="46" t="n"/>
    </row>
    <row r="268" ht="22.5" customHeight="1" s="23">
      <c r="A268" s="46" t="n"/>
      <c r="B268" s="46" t="n"/>
      <c r="C268" s="47" t="n"/>
      <c r="D268" s="46" t="n"/>
      <c r="E268" s="46" t="n"/>
      <c r="F268" s="46" t="n"/>
      <c r="G268" s="46" t="n"/>
    </row>
    <row r="269" ht="22.5" customHeight="1" s="23">
      <c r="A269" s="46" t="n"/>
      <c r="B269" s="46" t="n"/>
      <c r="C269" s="47" t="n"/>
      <c r="D269" s="46" t="n"/>
      <c r="E269" s="46" t="n"/>
      <c r="F269" s="46" t="n"/>
      <c r="G269" s="46" t="n"/>
    </row>
    <row r="270" ht="22.5" customHeight="1" s="23">
      <c r="A270" s="46" t="n"/>
      <c r="B270" s="46" t="n"/>
      <c r="C270" s="47" t="n"/>
      <c r="D270" s="46" t="n"/>
      <c r="E270" s="46" t="n"/>
      <c r="F270" s="46" t="n"/>
      <c r="G270" s="46" t="n"/>
    </row>
    <row r="271" ht="22.5" customHeight="1" s="23">
      <c r="A271" s="46" t="n"/>
      <c r="B271" s="46" t="n"/>
      <c r="C271" s="47" t="n"/>
      <c r="D271" s="46" t="n"/>
      <c r="E271" s="46" t="n"/>
      <c r="F271" s="46" t="n"/>
      <c r="G271" s="46" t="n"/>
    </row>
    <row r="272" ht="22.5" customHeight="1" s="23">
      <c r="A272" s="46" t="n"/>
      <c r="B272" s="46" t="n"/>
      <c r="C272" s="47" t="n"/>
      <c r="D272" s="46" t="n"/>
      <c r="E272" s="46" t="n"/>
      <c r="F272" s="46" t="n"/>
      <c r="G272" s="46" t="n"/>
    </row>
    <row r="273" ht="22.5" customHeight="1" s="23">
      <c r="A273" s="46" t="n"/>
      <c r="B273" s="46" t="n"/>
      <c r="C273" s="47" t="n"/>
      <c r="D273" s="46" t="n"/>
      <c r="E273" s="46" t="n"/>
      <c r="F273" s="46" t="n"/>
      <c r="G273" s="46" t="n"/>
    </row>
    <row r="274" ht="22.5" customHeight="1" s="23">
      <c r="A274" s="46" t="n"/>
      <c r="B274" s="46" t="n"/>
      <c r="C274" s="47" t="n"/>
      <c r="D274" s="46" t="n"/>
      <c r="E274" s="46" t="n"/>
      <c r="F274" s="46" t="n"/>
      <c r="G274" s="46" t="n"/>
    </row>
    <row r="275" ht="22.5" customHeight="1" s="23">
      <c r="A275" s="46" t="n"/>
      <c r="B275" s="46" t="n"/>
      <c r="C275" s="47" t="n"/>
      <c r="D275" s="46" t="n"/>
      <c r="E275" s="46" t="n"/>
      <c r="F275" s="46" t="n"/>
      <c r="G275" s="46" t="n"/>
    </row>
    <row r="276" ht="22.5" customHeight="1" s="23">
      <c r="A276" s="46" t="n"/>
      <c r="B276" s="46" t="n"/>
      <c r="C276" s="47" t="n"/>
      <c r="D276" s="46" t="n"/>
      <c r="E276" s="46" t="n"/>
      <c r="F276" s="46" t="n"/>
      <c r="G276" s="46" t="n"/>
    </row>
    <row r="277" ht="22.5" customHeight="1" s="23">
      <c r="A277" s="46" t="n"/>
      <c r="B277" s="46" t="n"/>
      <c r="C277" s="47" t="n"/>
      <c r="D277" s="46" t="n"/>
      <c r="E277" s="46" t="n"/>
      <c r="F277" s="46" t="n"/>
      <c r="G277" s="46" t="n"/>
    </row>
    <row r="278" ht="22.5" customHeight="1" s="23">
      <c r="A278" s="46" t="n"/>
      <c r="B278" s="46" t="n"/>
      <c r="C278" s="47" t="n"/>
      <c r="D278" s="46" t="n"/>
      <c r="E278" s="46" t="n"/>
      <c r="F278" s="46" t="n"/>
      <c r="G278" s="46" t="n"/>
    </row>
    <row r="279" ht="22.5" customHeight="1" s="23">
      <c r="A279" s="46" t="n"/>
      <c r="B279" s="46" t="n"/>
      <c r="C279" s="47" t="n"/>
      <c r="D279" s="46" t="n"/>
      <c r="E279" s="46" t="n"/>
      <c r="F279" s="46" t="n"/>
      <c r="G279" s="46" t="n"/>
    </row>
    <row r="280" ht="22.5" customHeight="1" s="23">
      <c r="A280" s="46" t="n"/>
      <c r="B280" s="46" t="n"/>
      <c r="C280" s="47" t="n"/>
      <c r="D280" s="46" t="n"/>
      <c r="E280" s="46" t="n"/>
      <c r="F280" s="46" t="n"/>
      <c r="G280" s="46" t="n"/>
    </row>
    <row r="281" ht="22.5" customHeight="1" s="23">
      <c r="A281" s="46" t="n"/>
      <c r="B281" s="46" t="n"/>
      <c r="C281" s="47" t="n"/>
      <c r="D281" s="46" t="n"/>
      <c r="E281" s="46" t="n"/>
      <c r="F281" s="46" t="n"/>
      <c r="G281" s="46" t="n"/>
    </row>
    <row r="282" ht="22.5" customHeight="1" s="23">
      <c r="A282" s="46" t="n"/>
      <c r="B282" s="46" t="n"/>
      <c r="C282" s="47" t="n"/>
      <c r="D282" s="46" t="n"/>
      <c r="E282" s="46" t="n"/>
      <c r="F282" s="46" t="n"/>
      <c r="G282" s="46" t="n"/>
    </row>
    <row r="283" ht="22.5" customHeight="1" s="23">
      <c r="A283" s="46" t="n"/>
      <c r="B283" s="46" t="n"/>
      <c r="C283" s="47" t="n"/>
      <c r="D283" s="46" t="n"/>
      <c r="E283" s="46" t="n"/>
      <c r="F283" s="46" t="n"/>
      <c r="G283" s="46" t="n"/>
    </row>
    <row r="284" ht="22.5" customHeight="1" s="23">
      <c r="A284" s="46" t="n"/>
      <c r="B284" s="46" t="n"/>
      <c r="C284" s="47" t="n"/>
      <c r="D284" s="46" t="n"/>
      <c r="E284" s="46" t="n"/>
      <c r="F284" s="46" t="n"/>
      <c r="G284" s="46" t="n"/>
    </row>
    <row r="285" ht="22.5" customHeight="1" s="23">
      <c r="A285" s="46" t="n"/>
      <c r="B285" s="46" t="n"/>
      <c r="C285" s="47" t="n"/>
      <c r="D285" s="46" t="n"/>
      <c r="E285" s="46" t="n"/>
      <c r="F285" s="46" t="n"/>
      <c r="G285" s="46" t="n"/>
    </row>
    <row r="286" ht="22.5" customHeight="1" s="23">
      <c r="A286" s="46" t="n"/>
      <c r="B286" s="46" t="n"/>
      <c r="C286" s="47" t="n"/>
      <c r="D286" s="46" t="n"/>
      <c r="E286" s="46" t="n"/>
      <c r="F286" s="46" t="n"/>
      <c r="G286" s="46" t="n"/>
    </row>
    <row r="287" ht="22.5" customHeight="1" s="23">
      <c r="A287" s="46" t="n"/>
      <c r="B287" s="46" t="n"/>
      <c r="C287" s="47" t="n"/>
      <c r="D287" s="46" t="n"/>
      <c r="E287" s="46" t="n"/>
      <c r="F287" s="46" t="n"/>
      <c r="G287" s="46" t="n"/>
    </row>
    <row r="288" ht="22.5" customHeight="1" s="23">
      <c r="A288" s="46" t="n"/>
      <c r="B288" s="46" t="n"/>
      <c r="C288" s="47" t="n"/>
      <c r="D288" s="46" t="n"/>
      <c r="E288" s="46" t="n"/>
      <c r="F288" s="46" t="n"/>
      <c r="G288" s="46" t="n"/>
    </row>
    <row r="289" ht="22.5" customHeight="1" s="23">
      <c r="A289" s="46" t="n"/>
      <c r="B289" s="46" t="n"/>
      <c r="C289" s="47" t="n"/>
      <c r="D289" s="46" t="n"/>
      <c r="E289" s="46" t="n"/>
      <c r="F289" s="46" t="n"/>
      <c r="G289" s="46" t="n"/>
    </row>
    <row r="290" ht="22.5" customHeight="1" s="23">
      <c r="A290" s="46" t="n"/>
      <c r="B290" s="46" t="n"/>
      <c r="C290" s="47" t="n"/>
      <c r="D290" s="46" t="n"/>
      <c r="E290" s="46" t="n"/>
      <c r="F290" s="46" t="n"/>
      <c r="G290" s="46" t="n"/>
    </row>
    <row r="291" ht="22.5" customHeight="1" s="23">
      <c r="A291" s="46" t="n"/>
      <c r="B291" s="46" t="n"/>
      <c r="C291" s="47" t="n"/>
      <c r="D291" s="46" t="n"/>
      <c r="E291" s="46" t="n"/>
      <c r="F291" s="46" t="n"/>
      <c r="G291" s="46" t="n"/>
    </row>
    <row r="292" ht="22.5" customHeight="1" s="23">
      <c r="A292" s="46" t="n"/>
      <c r="B292" s="46" t="n"/>
      <c r="C292" s="47" t="n"/>
      <c r="D292" s="46" t="n"/>
      <c r="E292" s="46" t="n"/>
      <c r="F292" s="46" t="n"/>
      <c r="G292" s="46" t="n"/>
    </row>
    <row r="293" ht="22.5" customHeight="1" s="23">
      <c r="A293" s="46" t="n"/>
      <c r="B293" s="46" t="n"/>
      <c r="C293" s="47" t="n"/>
      <c r="D293" s="46" t="n"/>
      <c r="E293" s="46" t="n"/>
      <c r="F293" s="46" t="n"/>
      <c r="G293" s="46" t="n"/>
    </row>
    <row r="294" ht="22.5" customHeight="1" s="23">
      <c r="A294" s="46" t="n"/>
      <c r="B294" s="46" t="n"/>
      <c r="C294" s="47" t="n"/>
      <c r="D294" s="46" t="n"/>
      <c r="E294" s="46" t="n"/>
      <c r="F294" s="46" t="n"/>
      <c r="G294" s="46" t="n"/>
    </row>
    <row r="295" ht="22.5" customHeight="1" s="23">
      <c r="A295" s="46" t="n"/>
      <c r="B295" s="46" t="n"/>
      <c r="C295" s="47" t="n"/>
      <c r="D295" s="46" t="n"/>
      <c r="E295" s="46" t="n"/>
      <c r="F295" s="46" t="n"/>
      <c r="G295" s="46" t="n"/>
    </row>
    <row r="296" ht="22.5" customHeight="1" s="23">
      <c r="A296" s="46" t="n"/>
      <c r="B296" s="46" t="n"/>
      <c r="C296" s="47" t="n"/>
      <c r="D296" s="46" t="n"/>
      <c r="E296" s="46" t="n"/>
      <c r="F296" s="46" t="n"/>
      <c r="G296" s="46" t="n"/>
    </row>
    <row r="297" ht="22.5" customHeight="1" s="23">
      <c r="A297" s="46" t="n"/>
      <c r="B297" s="46" t="n"/>
      <c r="C297" s="47" t="n"/>
      <c r="D297" s="46" t="n"/>
      <c r="E297" s="46" t="n"/>
      <c r="F297" s="46" t="n"/>
      <c r="G297" s="46" t="n"/>
    </row>
    <row r="298" ht="22.5" customHeight="1" s="23">
      <c r="A298" s="46" t="n"/>
      <c r="B298" s="46" t="n"/>
      <c r="C298" s="47" t="n"/>
      <c r="D298" s="46" t="n"/>
      <c r="E298" s="46" t="n"/>
      <c r="F298" s="46" t="n"/>
      <c r="G298" s="46" t="n"/>
    </row>
    <row r="299" ht="22.5" customHeight="1" s="23">
      <c r="A299" s="46" t="n"/>
      <c r="B299" s="46" t="n"/>
      <c r="C299" s="47" t="n"/>
      <c r="D299" s="46" t="n"/>
      <c r="E299" s="46" t="n"/>
      <c r="F299" s="46" t="n"/>
      <c r="G299" s="46" t="n"/>
    </row>
    <row r="300" ht="22.5" customHeight="1" s="23">
      <c r="A300" s="46" t="n"/>
      <c r="B300" s="46" t="n"/>
      <c r="C300" s="47" t="n"/>
      <c r="D300" s="46" t="n"/>
      <c r="E300" s="46" t="n"/>
      <c r="F300" s="46" t="n"/>
      <c r="G300" s="46" t="n"/>
    </row>
    <row r="301" ht="22.5" customHeight="1" s="23">
      <c r="A301" s="46" t="n"/>
      <c r="B301" s="46" t="n"/>
      <c r="C301" s="47" t="n"/>
      <c r="D301" s="46" t="n"/>
      <c r="E301" s="46" t="n"/>
      <c r="F301" s="46" t="n"/>
      <c r="G301" s="46" t="n"/>
    </row>
    <row r="302" ht="22.5" customHeight="1" s="23">
      <c r="A302" s="46" t="n"/>
      <c r="B302" s="46" t="n"/>
      <c r="C302" s="47" t="n"/>
      <c r="D302" s="46" t="n"/>
      <c r="E302" s="46" t="n"/>
      <c r="F302" s="46" t="n"/>
      <c r="G302" s="46" t="n"/>
    </row>
    <row r="303" ht="22.5" customHeight="1" s="23">
      <c r="A303" s="46" t="n"/>
      <c r="B303" s="46" t="n"/>
      <c r="C303" s="47" t="n"/>
      <c r="D303" s="46" t="n"/>
      <c r="E303" s="46" t="n"/>
      <c r="F303" s="46" t="n"/>
      <c r="G303" s="46" t="n"/>
    </row>
    <row r="304" ht="22.5" customHeight="1" s="23">
      <c r="A304" s="46" t="n"/>
      <c r="B304" s="46" t="n"/>
      <c r="C304" s="47" t="n"/>
      <c r="D304" s="46" t="n"/>
      <c r="E304" s="46" t="n"/>
      <c r="F304" s="46" t="n"/>
      <c r="G304" s="46" t="n"/>
    </row>
    <row r="305" ht="22.5" customHeight="1" s="23">
      <c r="A305" s="46" t="n"/>
      <c r="B305" s="46" t="n"/>
      <c r="C305" s="47" t="n"/>
      <c r="D305" s="46" t="n"/>
      <c r="E305" s="46" t="n"/>
      <c r="F305" s="46" t="n"/>
      <c r="G305" s="46" t="n"/>
    </row>
    <row r="306" ht="22.5" customHeight="1" s="23">
      <c r="A306" s="46" t="n"/>
      <c r="B306" s="46" t="n"/>
      <c r="C306" s="47" t="n"/>
      <c r="D306" s="46" t="n"/>
      <c r="E306" s="46" t="n"/>
      <c r="F306" s="46" t="n"/>
      <c r="G306" s="46" t="n"/>
    </row>
    <row r="307" ht="22.5" customHeight="1" s="23">
      <c r="A307" s="46" t="n"/>
      <c r="B307" s="46" t="n"/>
      <c r="C307" s="47" t="n"/>
      <c r="D307" s="46" t="n"/>
      <c r="E307" s="46" t="n"/>
      <c r="F307" s="46" t="n"/>
      <c r="G307" s="46" t="n"/>
    </row>
    <row r="308" ht="22.5" customHeight="1" s="23">
      <c r="A308" s="46" t="n"/>
      <c r="B308" s="46" t="n"/>
      <c r="C308" s="47" t="n"/>
      <c r="D308" s="46" t="n"/>
      <c r="E308" s="46" t="n"/>
      <c r="F308" s="46" t="n"/>
      <c r="G308" s="46" t="n"/>
    </row>
    <row r="309" ht="22.5" customHeight="1" s="23">
      <c r="A309" s="46" t="n"/>
      <c r="B309" s="46" t="n"/>
      <c r="C309" s="47" t="n"/>
      <c r="D309" s="46" t="n"/>
      <c r="E309" s="46" t="n"/>
      <c r="F309" s="46" t="n"/>
      <c r="G309" s="46" t="n"/>
    </row>
    <row r="310" ht="22.5" customHeight="1" s="23">
      <c r="A310" s="46" t="n"/>
      <c r="B310" s="46" t="n"/>
      <c r="C310" s="47" t="n"/>
      <c r="D310" s="46" t="n"/>
      <c r="E310" s="46" t="n"/>
      <c r="F310" s="46" t="n"/>
      <c r="G310" s="46" t="n"/>
    </row>
    <row r="311" ht="22.5" customHeight="1" s="23">
      <c r="A311" s="46" t="n"/>
      <c r="B311" s="46" t="n"/>
      <c r="C311" s="47" t="n"/>
      <c r="D311" s="46" t="n"/>
      <c r="E311" s="46" t="n"/>
      <c r="F311" s="46" t="n"/>
      <c r="G311" s="46" t="n"/>
    </row>
    <row r="312" ht="22.5" customHeight="1" s="23">
      <c r="A312" s="46" t="n"/>
      <c r="B312" s="46" t="n"/>
      <c r="C312" s="47" t="n"/>
      <c r="D312" s="46" t="n"/>
      <c r="E312" s="46" t="n"/>
      <c r="F312" s="46" t="n"/>
      <c r="G312" s="46" t="n"/>
    </row>
    <row r="313" ht="22.5" customHeight="1" s="23">
      <c r="A313" s="46" t="n"/>
      <c r="B313" s="46" t="n"/>
      <c r="C313" s="47" t="n"/>
      <c r="D313" s="46" t="n"/>
      <c r="E313" s="46" t="n"/>
      <c r="F313" s="46" t="n"/>
      <c r="G313" s="46" t="n"/>
    </row>
    <row r="314" ht="22.5" customHeight="1" s="23">
      <c r="A314" s="46" t="n"/>
      <c r="B314" s="46" t="n"/>
      <c r="C314" s="47" t="n"/>
      <c r="D314" s="46" t="n"/>
      <c r="E314" s="46" t="n"/>
      <c r="F314" s="46" t="n"/>
      <c r="G314" s="46" t="n"/>
    </row>
    <row r="315" ht="22.5" customHeight="1" s="23">
      <c r="A315" s="46" t="n"/>
      <c r="B315" s="46" t="n"/>
      <c r="C315" s="47" t="n"/>
      <c r="D315" s="46" t="n"/>
      <c r="E315" s="46" t="n"/>
      <c r="F315" s="46" t="n"/>
      <c r="G315" s="46" t="n"/>
    </row>
    <row r="316" ht="22.5" customHeight="1" s="23">
      <c r="A316" s="46" t="n"/>
      <c r="B316" s="46" t="n"/>
      <c r="C316" s="47" t="n"/>
      <c r="D316" s="46" t="n"/>
      <c r="E316" s="46" t="n"/>
      <c r="F316" s="46" t="n"/>
      <c r="G316" s="46" t="n"/>
    </row>
    <row r="317" ht="22.5" customHeight="1" s="23">
      <c r="A317" s="46" t="n"/>
      <c r="B317" s="46" t="n"/>
      <c r="C317" s="47" t="n"/>
      <c r="D317" s="46" t="n"/>
      <c r="E317" s="46" t="n"/>
      <c r="F317" s="46" t="n"/>
      <c r="G317" s="46" t="n"/>
    </row>
    <row r="318" ht="22.5" customHeight="1" s="23">
      <c r="A318" s="46" t="n"/>
      <c r="B318" s="46" t="n"/>
      <c r="C318" s="47" t="n"/>
      <c r="D318" s="46" t="n"/>
      <c r="E318" s="46" t="n"/>
      <c r="F318" s="46" t="n"/>
      <c r="G318" s="46" t="n"/>
    </row>
    <row r="319" ht="22.5" customHeight="1" s="23">
      <c r="A319" s="46" t="n"/>
      <c r="B319" s="46" t="n"/>
      <c r="C319" s="47" t="n"/>
      <c r="D319" s="46" t="n"/>
      <c r="E319" s="46" t="n"/>
      <c r="F319" s="46" t="n"/>
      <c r="G319" s="46" t="n"/>
    </row>
    <row r="320" ht="22.5" customHeight="1" s="23">
      <c r="A320" s="46" t="n"/>
      <c r="B320" s="46" t="n"/>
      <c r="C320" s="47" t="n"/>
      <c r="D320" s="46" t="n"/>
      <c r="E320" s="46" t="n"/>
      <c r="F320" s="46" t="n"/>
      <c r="G320" s="46" t="n"/>
    </row>
    <row r="321" ht="22.5" customHeight="1" s="23">
      <c r="A321" s="46" t="n"/>
      <c r="B321" s="46" t="n"/>
      <c r="C321" s="47" t="n"/>
      <c r="D321" s="46" t="n"/>
      <c r="E321" s="46" t="n"/>
      <c r="F321" s="46" t="n"/>
      <c r="G321" s="46" t="n"/>
    </row>
    <row r="322" ht="22.5" customHeight="1" s="23">
      <c r="A322" s="46" t="n"/>
      <c r="B322" s="46" t="n"/>
      <c r="C322" s="47" t="n"/>
      <c r="D322" s="46" t="n"/>
      <c r="E322" s="46" t="n"/>
      <c r="F322" s="46" t="n"/>
      <c r="G322" s="46" t="n"/>
    </row>
    <row r="323" ht="22.5" customHeight="1" s="23">
      <c r="A323" s="46" t="n"/>
      <c r="B323" s="46" t="n"/>
      <c r="C323" s="47" t="n"/>
      <c r="D323" s="46" t="n"/>
      <c r="E323" s="46" t="n"/>
      <c r="F323" s="46" t="n"/>
      <c r="G323" s="46" t="n"/>
    </row>
    <row r="324" ht="22.5" customHeight="1" s="23">
      <c r="A324" s="46" t="n"/>
      <c r="B324" s="46" t="n"/>
      <c r="C324" s="47" t="n"/>
      <c r="D324" s="46" t="n"/>
      <c r="E324" s="46" t="n"/>
      <c r="F324" s="46" t="n"/>
      <c r="G324" s="46" t="n"/>
    </row>
    <row r="325" ht="22.5" customHeight="1" s="23">
      <c r="A325" s="46" t="n"/>
      <c r="B325" s="46" t="n"/>
      <c r="C325" s="47" t="n"/>
      <c r="D325" s="46" t="n"/>
      <c r="E325" s="46" t="n"/>
      <c r="F325" s="46" t="n"/>
      <c r="G325" s="46" t="n"/>
    </row>
    <row r="326" ht="22.5" customHeight="1" s="23">
      <c r="A326" s="46" t="n"/>
      <c r="B326" s="46" t="n"/>
      <c r="C326" s="47" t="n"/>
      <c r="D326" s="46" t="n"/>
      <c r="E326" s="46" t="n"/>
      <c r="F326" s="46" t="n"/>
      <c r="G326" s="46" t="n"/>
    </row>
    <row r="327" ht="22.5" customHeight="1" s="23">
      <c r="A327" s="46" t="n"/>
      <c r="B327" s="46" t="n"/>
      <c r="C327" s="47" t="n"/>
      <c r="D327" s="46" t="n"/>
      <c r="E327" s="46" t="n"/>
      <c r="F327" s="46" t="n"/>
      <c r="G327" s="46" t="n"/>
    </row>
    <row r="328" ht="22.5" customHeight="1" s="23">
      <c r="A328" s="46" t="n"/>
      <c r="B328" s="46" t="n"/>
      <c r="C328" s="47" t="n"/>
      <c r="D328" s="46" t="n"/>
      <c r="E328" s="46" t="n"/>
      <c r="F328" s="46" t="n"/>
      <c r="G328" s="46" t="n"/>
    </row>
    <row r="329" ht="22.5" customHeight="1" s="23">
      <c r="A329" s="46" t="n"/>
      <c r="B329" s="46" t="n"/>
      <c r="C329" s="47" t="n"/>
      <c r="D329" s="46" t="n"/>
      <c r="E329" s="46" t="n"/>
      <c r="F329" s="46" t="n"/>
      <c r="G329" s="46" t="n"/>
    </row>
    <row r="330" ht="22.5" customHeight="1" s="23">
      <c r="A330" s="46" t="n"/>
      <c r="B330" s="46" t="n"/>
      <c r="C330" s="47" t="n"/>
      <c r="D330" s="46" t="n"/>
      <c r="E330" s="46" t="n"/>
      <c r="F330" s="46" t="n"/>
      <c r="G330" s="46" t="n"/>
    </row>
    <row r="331" ht="22.5" customHeight="1" s="23">
      <c r="A331" s="46" t="n"/>
      <c r="B331" s="46" t="n"/>
      <c r="C331" s="47" t="n"/>
      <c r="D331" s="46" t="n"/>
      <c r="E331" s="46" t="n"/>
      <c r="F331" s="46" t="n"/>
      <c r="G331" s="46" t="n"/>
    </row>
    <row r="332" ht="22.5" customHeight="1" s="23">
      <c r="A332" s="46" t="n"/>
      <c r="B332" s="46" t="n"/>
      <c r="C332" s="47" t="n"/>
      <c r="D332" s="46" t="n"/>
      <c r="E332" s="46" t="n"/>
      <c r="F332" s="46" t="n"/>
      <c r="G332" s="46" t="n"/>
    </row>
    <row r="333" ht="22.5" customHeight="1" s="23">
      <c r="A333" s="46" t="n"/>
      <c r="B333" s="46" t="n"/>
      <c r="C333" s="47" t="n"/>
      <c r="D333" s="46" t="n"/>
      <c r="E333" s="46" t="n"/>
      <c r="F333" s="46" t="n"/>
      <c r="G333" s="46" t="n"/>
    </row>
    <row r="334" ht="22.5" customHeight="1" s="23">
      <c r="A334" s="46" t="n"/>
      <c r="B334" s="46" t="n"/>
      <c r="C334" s="47" t="n"/>
      <c r="D334" s="46" t="n"/>
      <c r="E334" s="46" t="n"/>
      <c r="F334" s="46" t="n"/>
      <c r="G334" s="46" t="n"/>
    </row>
    <row r="335" ht="22.5" customHeight="1" s="23">
      <c r="A335" s="46" t="n"/>
      <c r="B335" s="46" t="n"/>
      <c r="C335" s="47" t="n"/>
      <c r="D335" s="46" t="n"/>
      <c r="E335" s="46" t="n"/>
      <c r="F335" s="46" t="n"/>
      <c r="G335" s="46" t="n"/>
    </row>
    <row r="336" ht="22.5" customHeight="1" s="23">
      <c r="A336" s="46" t="n"/>
      <c r="B336" s="46" t="n"/>
      <c r="C336" s="47" t="n"/>
      <c r="D336" s="46" t="n"/>
      <c r="E336" s="46" t="n"/>
      <c r="F336" s="46" t="n"/>
      <c r="G336" s="46" t="n"/>
    </row>
    <row r="337" ht="22.5" customHeight="1" s="23">
      <c r="A337" s="46" t="n"/>
      <c r="B337" s="46" t="n"/>
      <c r="C337" s="47" t="n"/>
      <c r="D337" s="46" t="n"/>
      <c r="E337" s="46" t="n"/>
      <c r="F337" s="46" t="n"/>
      <c r="G337" s="46" t="n"/>
    </row>
    <row r="338" ht="22.5" customHeight="1" s="23">
      <c r="A338" s="46" t="n"/>
      <c r="B338" s="46" t="n"/>
      <c r="C338" s="47" t="n"/>
      <c r="D338" s="46" t="n"/>
      <c r="E338" s="46" t="n"/>
      <c r="F338" s="46" t="n"/>
      <c r="G338" s="46" t="n"/>
    </row>
    <row r="339" ht="22.5" customHeight="1" s="23">
      <c r="A339" s="46" t="n"/>
      <c r="B339" s="46" t="n"/>
      <c r="C339" s="47" t="n"/>
      <c r="D339" s="46" t="n"/>
      <c r="E339" s="46" t="n"/>
      <c r="F339" s="46" t="n"/>
      <c r="G339" s="46" t="n"/>
    </row>
    <row r="340" ht="22.5" customHeight="1" s="23">
      <c r="A340" s="46" t="n"/>
      <c r="B340" s="46" t="n"/>
      <c r="C340" s="47" t="n"/>
      <c r="D340" s="46" t="n"/>
      <c r="E340" s="46" t="n"/>
      <c r="F340" s="46" t="n"/>
      <c r="G340" s="46" t="n"/>
    </row>
    <row r="341" ht="22.5" customHeight="1" s="23">
      <c r="A341" s="46" t="n"/>
      <c r="B341" s="46" t="n"/>
      <c r="C341" s="47" t="n"/>
      <c r="D341" s="46" t="n"/>
      <c r="E341" s="46" t="n"/>
      <c r="F341" s="46" t="n"/>
      <c r="G341" s="46" t="n"/>
    </row>
    <row r="342" ht="22.5" customHeight="1" s="23">
      <c r="A342" s="46" t="n"/>
      <c r="B342" s="46" t="n"/>
      <c r="C342" s="47" t="n"/>
      <c r="D342" s="46" t="n"/>
      <c r="E342" s="46" t="n"/>
      <c r="F342" s="46" t="n"/>
      <c r="G342" s="46" t="n"/>
    </row>
    <row r="343" ht="22.5" customHeight="1" s="23">
      <c r="A343" s="46" t="n"/>
      <c r="B343" s="46" t="n"/>
      <c r="C343" s="47" t="n"/>
      <c r="D343" s="46" t="n"/>
      <c r="E343" s="46" t="n"/>
      <c r="F343" s="46" t="n"/>
      <c r="G343" s="46" t="n"/>
    </row>
    <row r="344" ht="22.5" customHeight="1" s="23">
      <c r="A344" s="46" t="n"/>
      <c r="B344" s="46" t="n"/>
      <c r="C344" s="47" t="n"/>
      <c r="D344" s="46" t="n"/>
      <c r="E344" s="46" t="n"/>
      <c r="F344" s="46" t="n"/>
      <c r="G344" s="46" t="n"/>
    </row>
    <row r="345" ht="22.5" customHeight="1" s="23">
      <c r="A345" s="46" t="n"/>
      <c r="B345" s="46" t="n"/>
      <c r="C345" s="47" t="n"/>
      <c r="D345" s="46" t="n"/>
      <c r="E345" s="46" t="n"/>
      <c r="F345" s="46" t="n"/>
      <c r="G345" s="46" t="n"/>
    </row>
    <row r="346" ht="22.5" customHeight="1" s="23">
      <c r="A346" s="46" t="n"/>
      <c r="B346" s="46" t="n"/>
      <c r="C346" s="47" t="n"/>
      <c r="D346" s="46" t="n"/>
      <c r="E346" s="46" t="n"/>
      <c r="F346" s="46" t="n"/>
      <c r="G346" s="46" t="n"/>
    </row>
    <row r="347" ht="22.5" customHeight="1" s="23">
      <c r="A347" s="46" t="n"/>
      <c r="B347" s="46" t="n"/>
      <c r="C347" s="47" t="n"/>
      <c r="D347" s="46" t="n"/>
      <c r="E347" s="46" t="n"/>
      <c r="F347" s="46" t="n"/>
      <c r="G347" s="46" t="n"/>
    </row>
    <row r="348" ht="22.5" customHeight="1" s="23">
      <c r="A348" s="46" t="n"/>
      <c r="B348" s="46" t="n"/>
      <c r="C348" s="47" t="n"/>
      <c r="D348" s="46" t="n"/>
      <c r="E348" s="46" t="n"/>
      <c r="F348" s="46" t="n"/>
      <c r="G348" s="46" t="n"/>
    </row>
    <row r="349" ht="22.5" customHeight="1" s="23">
      <c r="A349" s="46" t="n"/>
      <c r="B349" s="46" t="n"/>
      <c r="C349" s="47" t="n"/>
      <c r="D349" s="46" t="n"/>
      <c r="E349" s="46" t="n"/>
      <c r="F349" s="46" t="n"/>
      <c r="G349" s="46" t="n"/>
    </row>
    <row r="350" ht="22.5" customHeight="1" s="23">
      <c r="A350" s="46" t="n"/>
      <c r="B350" s="46" t="n"/>
      <c r="C350" s="47" t="n"/>
      <c r="D350" s="46" t="n"/>
      <c r="E350" s="46" t="n"/>
      <c r="F350" s="46" t="n"/>
      <c r="G350" s="46" t="n"/>
    </row>
    <row r="351" ht="22.5" customHeight="1" s="23">
      <c r="A351" s="46" t="n"/>
      <c r="B351" s="46" t="n"/>
      <c r="C351" s="47" t="n"/>
      <c r="D351" s="46" t="n"/>
      <c r="E351" s="46" t="n"/>
      <c r="F351" s="46" t="n"/>
      <c r="G351" s="46" t="n"/>
    </row>
    <row r="352" ht="22.5" customHeight="1" s="23">
      <c r="A352" s="46" t="n"/>
      <c r="B352" s="46" t="n"/>
      <c r="C352" s="47" t="n"/>
      <c r="D352" s="46" t="n"/>
      <c r="E352" s="46" t="n"/>
      <c r="F352" s="46" t="n"/>
      <c r="G352" s="46" t="n"/>
    </row>
    <row r="353" ht="22.5" customHeight="1" s="23">
      <c r="A353" s="46" t="n"/>
      <c r="B353" s="46" t="n"/>
      <c r="C353" s="47" t="n"/>
      <c r="D353" s="46" t="n"/>
      <c r="E353" s="46" t="n"/>
      <c r="F353" s="46" t="n"/>
      <c r="G353" s="46" t="n"/>
    </row>
    <row r="354" ht="22.5" customHeight="1" s="23">
      <c r="A354" s="46" t="n"/>
      <c r="B354" s="46" t="n"/>
      <c r="C354" s="47" t="n"/>
      <c r="D354" s="46" t="n"/>
      <c r="E354" s="46" t="n"/>
      <c r="F354" s="46" t="n"/>
      <c r="G354" s="46" t="n"/>
    </row>
    <row r="355" ht="22.5" customHeight="1" s="23">
      <c r="A355" s="46" t="n"/>
      <c r="B355" s="46" t="n"/>
      <c r="C355" s="47" t="n"/>
      <c r="D355" s="46" t="n"/>
      <c r="E355" s="46" t="n"/>
      <c r="F355" s="46" t="n"/>
      <c r="G355" s="46" t="n"/>
    </row>
    <row r="356" ht="22.5" customHeight="1" s="23">
      <c r="A356" s="46" t="n"/>
      <c r="B356" s="46" t="n"/>
      <c r="C356" s="47" t="n"/>
      <c r="D356" s="46" t="n"/>
      <c r="E356" s="46" t="n"/>
      <c r="F356" s="46" t="n"/>
      <c r="G356" s="46" t="n"/>
    </row>
    <row r="357" ht="22.5" customHeight="1" s="23">
      <c r="A357" s="46" t="n"/>
      <c r="B357" s="46" t="n"/>
      <c r="C357" s="47" t="n"/>
      <c r="D357" s="46" t="n"/>
      <c r="E357" s="46" t="n"/>
      <c r="F357" s="46" t="n"/>
      <c r="G357" s="46" t="n"/>
    </row>
    <row r="358" ht="22.5" customHeight="1" s="23">
      <c r="A358" s="46" t="n"/>
      <c r="B358" s="46" t="n"/>
      <c r="C358" s="47" t="n"/>
      <c r="D358" s="46" t="n"/>
      <c r="E358" s="46" t="n"/>
      <c r="F358" s="46" t="n"/>
      <c r="G358" s="46" t="n"/>
    </row>
    <row r="359" ht="22.5" customHeight="1" s="23">
      <c r="A359" s="46" t="n"/>
      <c r="B359" s="46" t="n"/>
      <c r="C359" s="47" t="n"/>
      <c r="D359" s="46" t="n"/>
      <c r="E359" s="46" t="n"/>
      <c r="F359" s="46" t="n"/>
      <c r="G359" s="46" t="n"/>
    </row>
    <row r="360" ht="22.5" customHeight="1" s="23">
      <c r="A360" s="46" t="n"/>
      <c r="B360" s="46" t="n"/>
      <c r="C360" s="47" t="n"/>
      <c r="D360" s="46" t="n"/>
      <c r="E360" s="46" t="n"/>
      <c r="F360" s="46" t="n"/>
      <c r="G360" s="46" t="n"/>
    </row>
    <row r="361" ht="22.5" customHeight="1" s="23">
      <c r="A361" s="46" t="n"/>
      <c r="B361" s="46" t="n"/>
      <c r="C361" s="47" t="n"/>
      <c r="D361" s="46" t="n"/>
      <c r="E361" s="46" t="n"/>
      <c r="F361" s="46" t="n"/>
      <c r="G361" s="46" t="n"/>
    </row>
    <row r="362" ht="22.5" customHeight="1" s="23">
      <c r="A362" s="46" t="n"/>
      <c r="B362" s="46" t="n"/>
      <c r="C362" s="47" t="n"/>
      <c r="D362" s="46" t="n"/>
      <c r="E362" s="46" t="n"/>
      <c r="F362" s="46" t="n"/>
      <c r="G362" s="46" t="n"/>
    </row>
    <row r="363" ht="22.5" customHeight="1" s="23">
      <c r="A363" s="46" t="n"/>
      <c r="B363" s="46" t="n"/>
      <c r="C363" s="47" t="n"/>
      <c r="D363" s="46" t="n"/>
      <c r="E363" s="46" t="n"/>
      <c r="F363" s="46" t="n"/>
      <c r="G363" s="46" t="n"/>
    </row>
    <row r="364" ht="22.5" customHeight="1" s="23">
      <c r="A364" s="46" t="n"/>
      <c r="B364" s="46" t="n"/>
      <c r="C364" s="47" t="n"/>
      <c r="D364" s="46" t="n"/>
      <c r="E364" s="46" t="n"/>
      <c r="F364" s="46" t="n"/>
      <c r="G364" s="46" t="n"/>
    </row>
    <row r="365" ht="22.5" customHeight="1" s="23">
      <c r="A365" s="46" t="n"/>
      <c r="B365" s="46" t="n"/>
      <c r="C365" s="47" t="n"/>
      <c r="D365" s="46" t="n"/>
      <c r="E365" s="46" t="n"/>
      <c r="F365" s="46" t="n"/>
      <c r="G365" s="46" t="n"/>
    </row>
    <row r="366" ht="22.5" customHeight="1" s="23">
      <c r="A366" s="46" t="n"/>
      <c r="B366" s="46" t="n"/>
      <c r="C366" s="47" t="n"/>
      <c r="D366" s="46" t="n"/>
      <c r="E366" s="46" t="n"/>
      <c r="F366" s="46" t="n"/>
      <c r="G366" s="46" t="n"/>
    </row>
    <row r="367" ht="22.5" customHeight="1" s="23">
      <c r="A367" s="46" t="n"/>
      <c r="B367" s="46" t="n"/>
      <c r="C367" s="47" t="n"/>
      <c r="D367" s="46" t="n"/>
      <c r="E367" s="46" t="n"/>
      <c r="F367" s="46" t="n"/>
      <c r="G367" s="46" t="n"/>
    </row>
    <row r="368" ht="22.5" customHeight="1" s="23">
      <c r="A368" s="46" t="n"/>
      <c r="B368" s="46" t="n"/>
      <c r="C368" s="47" t="n"/>
      <c r="D368" s="46" t="n"/>
      <c r="E368" s="46" t="n"/>
      <c r="F368" s="46" t="n"/>
      <c r="G368" s="46" t="n"/>
    </row>
    <row r="369" ht="22.5" customHeight="1" s="23">
      <c r="A369" s="46" t="n"/>
      <c r="B369" s="46" t="n"/>
      <c r="C369" s="47" t="n"/>
      <c r="D369" s="46" t="n"/>
      <c r="E369" s="46" t="n"/>
      <c r="F369" s="46" t="n"/>
      <c r="G369" s="46" t="n"/>
    </row>
    <row r="370" ht="22.5" customHeight="1" s="23">
      <c r="A370" s="46" t="n"/>
      <c r="B370" s="46" t="n"/>
      <c r="C370" s="47" t="n"/>
      <c r="D370" s="46" t="n"/>
      <c r="E370" s="46" t="n"/>
      <c r="F370" s="46" t="n"/>
      <c r="G370" s="46" t="n"/>
    </row>
    <row r="371" ht="22.5" customHeight="1" s="23">
      <c r="A371" s="46" t="n"/>
      <c r="B371" s="46" t="n"/>
      <c r="C371" s="47" t="n"/>
      <c r="D371" s="46" t="n"/>
      <c r="E371" s="46" t="n"/>
      <c r="F371" s="46" t="n"/>
      <c r="G371" s="46" t="n"/>
    </row>
    <row r="372" ht="22.5" customHeight="1" s="23">
      <c r="A372" s="46" t="n"/>
      <c r="B372" s="46" t="n"/>
      <c r="C372" s="47" t="n"/>
      <c r="D372" s="46" t="n"/>
      <c r="E372" s="46" t="n"/>
      <c r="F372" s="46" t="n"/>
      <c r="G372" s="46" t="n"/>
    </row>
    <row r="373" ht="22.5" customHeight="1" s="23">
      <c r="A373" s="46" t="n"/>
      <c r="B373" s="46" t="n"/>
      <c r="C373" s="47" t="n"/>
      <c r="D373" s="46" t="n"/>
      <c r="E373" s="46" t="n"/>
      <c r="F373" s="46" t="n"/>
      <c r="G373" s="46" t="n"/>
    </row>
    <row r="374" ht="22.5" customHeight="1" s="23">
      <c r="A374" s="46" t="n"/>
      <c r="B374" s="46" t="n"/>
      <c r="C374" s="47" t="n"/>
      <c r="D374" s="46" t="n"/>
      <c r="E374" s="46" t="n"/>
      <c r="F374" s="46" t="n"/>
      <c r="G374" s="46" t="n"/>
    </row>
    <row r="375" ht="22.5" customHeight="1" s="23">
      <c r="A375" s="46" t="n"/>
      <c r="B375" s="46" t="n"/>
      <c r="C375" s="47" t="n"/>
      <c r="D375" s="46" t="n"/>
      <c r="E375" s="46" t="n"/>
      <c r="F375" s="46" t="n"/>
      <c r="G375" s="46" t="n"/>
    </row>
    <row r="376" ht="22.5" customHeight="1" s="23">
      <c r="A376" s="46" t="n"/>
      <c r="B376" s="46" t="n"/>
      <c r="C376" s="47" t="n"/>
      <c r="D376" s="46" t="n"/>
      <c r="E376" s="46" t="n"/>
      <c r="F376" s="46" t="n"/>
      <c r="G376" s="46" t="n"/>
    </row>
    <row r="377" ht="22.5" customHeight="1" s="23">
      <c r="A377" s="46" t="n"/>
      <c r="B377" s="46" t="n"/>
      <c r="C377" s="47" t="n"/>
      <c r="D377" s="46" t="n"/>
      <c r="E377" s="46" t="n"/>
      <c r="F377" s="46" t="n"/>
      <c r="G377" s="46" t="n"/>
    </row>
    <row r="378" ht="22.5" customHeight="1" s="23">
      <c r="A378" s="46" t="n"/>
      <c r="B378" s="46" t="n"/>
      <c r="C378" s="47" t="n"/>
      <c r="D378" s="46" t="n"/>
      <c r="E378" s="46" t="n"/>
      <c r="F378" s="46" t="n"/>
      <c r="G378" s="46" t="n"/>
    </row>
    <row r="379" ht="22.5" customHeight="1" s="23">
      <c r="A379" s="46" t="n"/>
      <c r="B379" s="46" t="n"/>
      <c r="C379" s="47" t="n"/>
      <c r="D379" s="46" t="n"/>
      <c r="E379" s="46" t="n"/>
      <c r="F379" s="46" t="n"/>
      <c r="G379" s="46" t="n"/>
    </row>
    <row r="380" ht="22.5" customHeight="1" s="23">
      <c r="A380" s="46" t="n"/>
      <c r="B380" s="46" t="n"/>
      <c r="C380" s="47" t="n"/>
      <c r="D380" s="46" t="n"/>
      <c r="E380" s="46" t="n"/>
      <c r="F380" s="46" t="n"/>
      <c r="G380" s="46" t="n"/>
    </row>
    <row r="381" ht="22.5" customHeight="1" s="23">
      <c r="A381" s="46" t="n"/>
      <c r="B381" s="46" t="n"/>
      <c r="C381" s="47" t="n"/>
      <c r="D381" s="46" t="n"/>
      <c r="E381" s="46" t="n"/>
      <c r="F381" s="46" t="n"/>
      <c r="G381" s="46" t="n"/>
    </row>
    <row r="382" ht="22.5" customHeight="1" s="23">
      <c r="A382" s="46" t="n"/>
      <c r="B382" s="46" t="n"/>
      <c r="C382" s="47" t="n"/>
      <c r="D382" s="46" t="n"/>
      <c r="E382" s="46" t="n"/>
      <c r="F382" s="46" t="n"/>
      <c r="G382" s="46" t="n"/>
    </row>
    <row r="383" ht="22.5" customHeight="1" s="23">
      <c r="A383" s="46" t="n"/>
      <c r="B383" s="46" t="n"/>
      <c r="C383" s="47" t="n"/>
      <c r="D383" s="46" t="n"/>
      <c r="E383" s="46" t="n"/>
      <c r="F383" s="46" t="n"/>
      <c r="G383" s="46" t="n"/>
    </row>
    <row r="384" ht="22.5" customHeight="1" s="23">
      <c r="A384" s="46" t="n"/>
      <c r="B384" s="46" t="n"/>
      <c r="C384" s="47" t="n"/>
      <c r="D384" s="46" t="n"/>
      <c r="E384" s="46" t="n"/>
      <c r="F384" s="46" t="n"/>
      <c r="G384" s="46" t="n"/>
    </row>
    <row r="385" ht="22.5" customHeight="1" s="23">
      <c r="A385" s="46" t="n"/>
      <c r="B385" s="46" t="n"/>
      <c r="C385" s="47" t="n"/>
      <c r="D385" s="46" t="n"/>
      <c r="E385" s="46" t="n"/>
      <c r="F385" s="46" t="n"/>
      <c r="G385" s="46" t="n"/>
    </row>
    <row r="386" ht="22.5" customHeight="1" s="23">
      <c r="A386" s="46" t="n"/>
      <c r="B386" s="46" t="n"/>
      <c r="C386" s="47" t="n"/>
      <c r="D386" s="46" t="n"/>
      <c r="E386" s="46" t="n"/>
      <c r="F386" s="46" t="n"/>
      <c r="G386" s="46" t="n"/>
    </row>
    <row r="387" ht="22.5" customHeight="1" s="23">
      <c r="A387" s="46" t="n"/>
      <c r="B387" s="46" t="n"/>
      <c r="C387" s="47" t="n"/>
      <c r="D387" s="46" t="n"/>
      <c r="E387" s="46" t="n"/>
      <c r="F387" s="46" t="n"/>
      <c r="G387" s="46" t="n"/>
    </row>
    <row r="388" ht="22.5" customHeight="1" s="23">
      <c r="A388" s="46" t="n"/>
      <c r="B388" s="46" t="n"/>
      <c r="C388" s="47" t="n"/>
      <c r="D388" s="46" t="n"/>
      <c r="E388" s="46" t="n"/>
      <c r="F388" s="46" t="n"/>
      <c r="G388" s="46" t="n"/>
    </row>
    <row r="389" ht="22.5" customHeight="1" s="23">
      <c r="A389" s="46" t="n"/>
      <c r="B389" s="46" t="n"/>
      <c r="C389" s="47" t="n"/>
      <c r="D389" s="46" t="n"/>
      <c r="E389" s="46" t="n"/>
      <c r="F389" s="46" t="n"/>
      <c r="G389" s="46" t="n"/>
    </row>
    <row r="390" ht="22.5" customHeight="1" s="23">
      <c r="A390" s="46" t="n"/>
      <c r="B390" s="46" t="n"/>
      <c r="C390" s="47" t="n"/>
      <c r="D390" s="46" t="n"/>
      <c r="E390" s="46" t="n"/>
      <c r="F390" s="46" t="n"/>
      <c r="G390" s="46" t="n"/>
    </row>
    <row r="391" ht="22.5" customHeight="1" s="23">
      <c r="A391" s="46" t="n"/>
      <c r="B391" s="46" t="n"/>
      <c r="C391" s="47" t="n"/>
      <c r="D391" s="46" t="n"/>
      <c r="E391" s="46" t="n"/>
      <c r="F391" s="46" t="n"/>
      <c r="G391" s="46" t="n"/>
    </row>
    <row r="392" ht="22.5" customHeight="1" s="23">
      <c r="A392" s="46" t="n"/>
      <c r="B392" s="46" t="n"/>
      <c r="C392" s="47" t="n"/>
      <c r="D392" s="46" t="n"/>
      <c r="E392" s="46" t="n"/>
      <c r="F392" s="46" t="n"/>
      <c r="G392" s="46" t="n"/>
    </row>
    <row r="393" ht="22.5" customHeight="1" s="23">
      <c r="A393" s="46" t="n"/>
      <c r="B393" s="46" t="n"/>
      <c r="C393" s="47" t="n"/>
      <c r="D393" s="46" t="n"/>
      <c r="E393" s="46" t="n"/>
      <c r="F393" s="46" t="n"/>
      <c r="G393" s="46" t="n"/>
    </row>
    <row r="394" ht="22.5" customHeight="1" s="23">
      <c r="A394" s="46" t="n"/>
      <c r="B394" s="46" t="n"/>
      <c r="C394" s="47" t="n"/>
      <c r="D394" s="46" t="n"/>
      <c r="E394" s="46" t="n"/>
      <c r="F394" s="46" t="n"/>
      <c r="G394" s="46" t="n"/>
    </row>
    <row r="395" ht="22.5" customHeight="1" s="23">
      <c r="A395" s="46" t="n"/>
      <c r="B395" s="46" t="n"/>
      <c r="C395" s="47" t="n"/>
      <c r="D395" s="46" t="n"/>
      <c r="E395" s="46" t="n"/>
      <c r="F395" s="46" t="n"/>
      <c r="G395" s="46" t="n"/>
    </row>
    <row r="396" ht="22.5" customHeight="1" s="23">
      <c r="A396" s="46" t="n"/>
      <c r="B396" s="46" t="n"/>
      <c r="C396" s="47" t="n"/>
      <c r="D396" s="46" t="n"/>
      <c r="E396" s="46" t="n"/>
      <c r="F396" s="46" t="n"/>
      <c r="G396" s="46" t="n"/>
    </row>
    <row r="397" ht="22.5" customHeight="1" s="23">
      <c r="A397" s="46" t="n"/>
      <c r="B397" s="46" t="n"/>
      <c r="C397" s="47" t="n"/>
      <c r="D397" s="46" t="n"/>
      <c r="E397" s="46" t="n"/>
      <c r="F397" s="46" t="n"/>
      <c r="G397" s="46" t="n"/>
    </row>
    <row r="398" ht="22.5" customHeight="1" s="23">
      <c r="A398" s="46" t="n"/>
      <c r="B398" s="46" t="n"/>
      <c r="C398" s="47" t="n"/>
      <c r="D398" s="46" t="n"/>
      <c r="E398" s="46" t="n"/>
      <c r="F398" s="46" t="n"/>
      <c r="G398" s="46" t="n"/>
    </row>
    <row r="399" ht="22.5" customHeight="1" s="23">
      <c r="A399" s="46" t="n"/>
      <c r="B399" s="46" t="n"/>
      <c r="C399" s="47" t="n"/>
      <c r="D399" s="46" t="n"/>
      <c r="E399" s="46" t="n"/>
      <c r="F399" s="46" t="n"/>
      <c r="G399" s="46" t="n"/>
    </row>
    <row r="400" ht="22.5" customHeight="1" s="23">
      <c r="A400" s="46" t="n"/>
      <c r="B400" s="46" t="n"/>
      <c r="C400" s="47" t="n"/>
      <c r="D400" s="46" t="n"/>
      <c r="E400" s="46" t="n"/>
      <c r="F400" s="46" t="n"/>
      <c r="G400" s="46" t="n"/>
    </row>
    <row r="401" ht="22.5" customHeight="1" s="23">
      <c r="A401" s="46" t="n"/>
      <c r="B401" s="46" t="n"/>
      <c r="C401" s="47" t="n"/>
      <c r="D401" s="46" t="n"/>
      <c r="E401" s="46" t="n"/>
      <c r="F401" s="46" t="n"/>
      <c r="G401" s="46" t="n"/>
    </row>
    <row r="402" ht="22.5" customHeight="1" s="23">
      <c r="A402" s="46" t="n"/>
      <c r="B402" s="46" t="n"/>
      <c r="C402" s="47" t="n"/>
      <c r="D402" s="46" t="n"/>
      <c r="E402" s="46" t="n"/>
      <c r="F402" s="46" t="n"/>
      <c r="G402" s="46" t="n"/>
    </row>
    <row r="403" ht="22.5" customHeight="1" s="23">
      <c r="A403" s="46" t="n"/>
      <c r="B403" s="46" t="n"/>
      <c r="C403" s="47" t="n"/>
      <c r="D403" s="46" t="n"/>
      <c r="E403" s="46" t="n"/>
      <c r="F403" s="46" t="n"/>
      <c r="G403" s="46" t="n"/>
    </row>
    <row r="404" ht="22.5" customHeight="1" s="23">
      <c r="A404" s="46" t="n"/>
      <c r="B404" s="46" t="n"/>
      <c r="C404" s="47" t="n"/>
      <c r="D404" s="46" t="n"/>
      <c r="E404" s="46" t="n"/>
      <c r="F404" s="46" t="n"/>
      <c r="G404" s="46" t="n"/>
    </row>
    <row r="405" ht="22.5" customHeight="1" s="23">
      <c r="A405" s="46" t="n"/>
      <c r="B405" s="46" t="n"/>
      <c r="C405" s="47" t="n"/>
      <c r="D405" s="46" t="n"/>
      <c r="E405" s="46" t="n"/>
      <c r="F405" s="46" t="n"/>
      <c r="G405" s="46" t="n"/>
    </row>
    <row r="406" ht="22.5" customHeight="1" s="23">
      <c r="A406" s="46" t="n"/>
      <c r="B406" s="46" t="n"/>
      <c r="C406" s="47" t="n"/>
      <c r="D406" s="46" t="n"/>
      <c r="E406" s="46" t="n"/>
      <c r="F406" s="46" t="n"/>
      <c r="G406" s="46" t="n"/>
    </row>
    <row r="407" ht="22.5" customHeight="1" s="23">
      <c r="A407" s="46" t="n"/>
      <c r="B407" s="46" t="n"/>
      <c r="C407" s="47" t="n"/>
      <c r="D407" s="46" t="n"/>
      <c r="E407" s="46" t="n"/>
      <c r="F407" s="46" t="n"/>
      <c r="G407" s="46" t="n"/>
    </row>
    <row r="408" ht="22.5" customHeight="1" s="23">
      <c r="A408" s="46" t="n"/>
      <c r="B408" s="46" t="n"/>
      <c r="C408" s="47" t="n"/>
      <c r="D408" s="46" t="n"/>
      <c r="E408" s="46" t="n"/>
      <c r="F408" s="46" t="n"/>
      <c r="G408" s="46" t="n"/>
    </row>
    <row r="409" ht="22.5" customHeight="1" s="23">
      <c r="A409" s="46" t="n"/>
      <c r="B409" s="46" t="n"/>
      <c r="C409" s="47" t="n"/>
      <c r="D409" s="46" t="n"/>
      <c r="E409" s="46" t="n"/>
      <c r="F409" s="46" t="n"/>
      <c r="G409" s="46" t="n"/>
    </row>
    <row r="410" ht="22.5" customHeight="1" s="23">
      <c r="A410" s="46" t="n"/>
      <c r="B410" s="46" t="n"/>
      <c r="C410" s="47" t="n"/>
      <c r="D410" s="46" t="n"/>
      <c r="E410" s="46" t="n"/>
      <c r="F410" s="46" t="n"/>
      <c r="G410" s="46" t="n"/>
    </row>
    <row r="411" ht="22.5" customHeight="1" s="23">
      <c r="A411" s="46" t="n"/>
      <c r="B411" s="46" t="n"/>
      <c r="C411" s="47" t="n"/>
      <c r="D411" s="46" t="n"/>
      <c r="E411" s="46" t="n"/>
      <c r="F411" s="46" t="n"/>
      <c r="G411" s="46" t="n"/>
    </row>
    <row r="412" ht="22.5" customHeight="1" s="23">
      <c r="A412" s="46" t="n"/>
      <c r="B412" s="46" t="n"/>
      <c r="C412" s="47" t="n"/>
      <c r="D412" s="46" t="n"/>
      <c r="E412" s="46" t="n"/>
      <c r="F412" s="46" t="n"/>
      <c r="G412" s="46" t="n"/>
    </row>
    <row r="413" ht="22.5" customHeight="1" s="23">
      <c r="A413" s="46" t="n"/>
      <c r="B413" s="46" t="n"/>
      <c r="C413" s="47" t="n"/>
      <c r="D413" s="46" t="n"/>
      <c r="E413" s="46" t="n"/>
      <c r="F413" s="46" t="n"/>
      <c r="G413" s="46" t="n"/>
    </row>
    <row r="414" ht="22.5" customHeight="1" s="23">
      <c r="A414" s="46" t="n"/>
      <c r="B414" s="46" t="n"/>
      <c r="C414" s="47" t="n"/>
      <c r="D414" s="46" t="n"/>
      <c r="E414" s="46" t="n"/>
      <c r="F414" s="46" t="n"/>
      <c r="G414" s="46" t="n"/>
    </row>
    <row r="415" ht="22.5" customHeight="1" s="23">
      <c r="A415" s="46" t="n"/>
      <c r="B415" s="46" t="n"/>
      <c r="C415" s="47" t="n"/>
      <c r="D415" s="46" t="n"/>
      <c r="E415" s="46" t="n"/>
      <c r="F415" s="46" t="n"/>
      <c r="G415" s="46" t="n"/>
    </row>
    <row r="416" ht="22.5" customHeight="1" s="23">
      <c r="A416" s="46" t="n"/>
      <c r="B416" s="46" t="n"/>
      <c r="C416" s="47" t="n"/>
      <c r="D416" s="46" t="n"/>
      <c r="E416" s="46" t="n"/>
      <c r="F416" s="46" t="n"/>
      <c r="G416" s="46" t="n"/>
    </row>
    <row r="417" ht="22.5" customHeight="1" s="23">
      <c r="A417" s="46" t="n"/>
      <c r="B417" s="46" t="n"/>
      <c r="C417" s="47" t="n"/>
      <c r="D417" s="46" t="n"/>
      <c r="E417" s="46" t="n"/>
      <c r="F417" s="46" t="n"/>
      <c r="G417" s="46" t="n"/>
    </row>
    <row r="418" ht="22.5" customHeight="1" s="23">
      <c r="A418" s="46" t="n"/>
      <c r="B418" s="46" t="n"/>
      <c r="C418" s="47" t="n"/>
      <c r="D418" s="46" t="n"/>
      <c r="E418" s="46" t="n"/>
      <c r="F418" s="46" t="n"/>
      <c r="G418" s="46" t="n"/>
    </row>
    <row r="419" ht="22.5" customHeight="1" s="23">
      <c r="A419" s="46" t="n"/>
      <c r="B419" s="46" t="n"/>
      <c r="C419" s="47" t="n"/>
      <c r="D419" s="46" t="n"/>
      <c r="E419" s="46" t="n"/>
      <c r="F419" s="46" t="n"/>
      <c r="G419" s="46" t="n"/>
    </row>
    <row r="420" ht="22.5" customHeight="1" s="23">
      <c r="A420" s="46" t="n"/>
      <c r="B420" s="46" t="n"/>
      <c r="C420" s="47" t="n"/>
      <c r="D420" s="46" t="n"/>
      <c r="E420" s="46" t="n"/>
      <c r="F420" s="46" t="n"/>
      <c r="G420" s="46" t="n"/>
    </row>
    <row r="421" ht="22.5" customHeight="1" s="23">
      <c r="A421" s="46" t="n"/>
      <c r="B421" s="46" t="n"/>
      <c r="C421" s="47" t="n"/>
      <c r="D421" s="46" t="n"/>
      <c r="E421" s="46" t="n"/>
      <c r="F421" s="46" t="n"/>
      <c r="G421" s="46" t="n"/>
    </row>
    <row r="422" ht="22.5" customHeight="1" s="23">
      <c r="A422" s="46" t="n"/>
      <c r="B422" s="46" t="n"/>
      <c r="C422" s="47" t="n"/>
      <c r="D422" s="46" t="n"/>
      <c r="E422" s="46" t="n"/>
      <c r="F422" s="46" t="n"/>
      <c r="G422" s="46" t="n"/>
    </row>
    <row r="423" ht="22.5" customHeight="1" s="23">
      <c r="A423" s="46" t="n"/>
      <c r="B423" s="46" t="n"/>
      <c r="C423" s="47" t="n"/>
      <c r="D423" s="46" t="n"/>
      <c r="E423" s="46" t="n"/>
      <c r="F423" s="46" t="n"/>
      <c r="G423" s="46" t="n"/>
    </row>
    <row r="424" ht="22.5" customHeight="1" s="23">
      <c r="A424" s="46" t="n"/>
      <c r="B424" s="46" t="n"/>
      <c r="C424" s="47" t="n"/>
      <c r="D424" s="46" t="n"/>
      <c r="E424" s="46" t="n"/>
      <c r="F424" s="46" t="n"/>
      <c r="G424" s="46" t="n"/>
    </row>
    <row r="425" ht="22.5" customHeight="1" s="23">
      <c r="A425" s="46" t="n"/>
      <c r="B425" s="46" t="n"/>
      <c r="C425" s="47" t="n"/>
      <c r="D425" s="46" t="n"/>
      <c r="E425" s="46" t="n"/>
      <c r="F425" s="46" t="n"/>
      <c r="G425" s="46" t="n"/>
    </row>
    <row r="426" ht="22.5" customHeight="1" s="23">
      <c r="A426" s="46" t="n"/>
      <c r="B426" s="46" t="n"/>
      <c r="C426" s="47" t="n"/>
      <c r="D426" s="46" t="n"/>
      <c r="E426" s="46" t="n"/>
      <c r="F426" s="46" t="n"/>
      <c r="G426" s="46" t="n"/>
    </row>
    <row r="427" ht="22.5" customHeight="1" s="23">
      <c r="A427" s="46" t="n"/>
      <c r="B427" s="46" t="n"/>
      <c r="C427" s="47" t="n"/>
      <c r="D427" s="46" t="n"/>
      <c r="E427" s="46" t="n"/>
      <c r="F427" s="46" t="n"/>
      <c r="G427" s="46" t="n"/>
    </row>
    <row r="428" ht="22.5" customHeight="1" s="23">
      <c r="A428" s="46" t="n"/>
      <c r="B428" s="46" t="n"/>
      <c r="C428" s="47" t="n"/>
      <c r="D428" s="46" t="n"/>
      <c r="E428" s="46" t="n"/>
      <c r="F428" s="46" t="n"/>
      <c r="G428" s="46" t="n"/>
    </row>
    <row r="429" ht="22.5" customHeight="1" s="23">
      <c r="A429" s="46" t="n"/>
      <c r="B429" s="46" t="n"/>
      <c r="C429" s="47" t="n"/>
      <c r="D429" s="46" t="n"/>
      <c r="E429" s="46" t="n"/>
      <c r="F429" s="46" t="n"/>
      <c r="G429" s="46" t="n"/>
    </row>
    <row r="430" ht="22.5" customHeight="1" s="23">
      <c r="A430" s="46" t="n"/>
      <c r="B430" s="46" t="n"/>
      <c r="C430" s="47" t="n"/>
      <c r="D430" s="46" t="n"/>
      <c r="E430" s="46" t="n"/>
      <c r="F430" s="46" t="n"/>
      <c r="G430" s="46" t="n"/>
    </row>
    <row r="431" ht="22.5" customHeight="1" s="23">
      <c r="A431" s="46" t="n"/>
      <c r="B431" s="46" t="n"/>
      <c r="C431" s="47" t="n"/>
      <c r="D431" s="46" t="n"/>
      <c r="E431" s="46" t="n"/>
      <c r="F431" s="46" t="n"/>
      <c r="G431" s="46" t="n"/>
    </row>
    <row r="432" ht="22.5" customHeight="1" s="23">
      <c r="A432" s="46" t="n"/>
      <c r="B432" s="46" t="n"/>
      <c r="C432" s="47" t="n"/>
      <c r="D432" s="46" t="n"/>
      <c r="E432" s="46" t="n"/>
      <c r="F432" s="46" t="n"/>
      <c r="G432" s="46" t="n"/>
    </row>
    <row r="433" ht="22.5" customHeight="1" s="23">
      <c r="A433" s="46" t="n"/>
      <c r="B433" s="46" t="n"/>
      <c r="C433" s="47" t="n"/>
      <c r="D433" s="46" t="n"/>
      <c r="E433" s="46" t="n"/>
      <c r="F433" s="46" t="n"/>
      <c r="G433" s="46" t="n"/>
    </row>
    <row r="434" ht="22.5" customHeight="1" s="23">
      <c r="A434" s="46" t="n"/>
      <c r="B434" s="46" t="n"/>
      <c r="C434" s="47" t="n"/>
      <c r="D434" s="46" t="n"/>
      <c r="E434" s="46" t="n"/>
      <c r="F434" s="46" t="n"/>
      <c r="G434" s="46" t="n"/>
    </row>
    <row r="435" ht="22.5" customHeight="1" s="23">
      <c r="A435" s="46" t="n"/>
      <c r="B435" s="46" t="n"/>
      <c r="C435" s="47" t="n"/>
      <c r="D435" s="46" t="n"/>
      <c r="E435" s="46" t="n"/>
      <c r="F435" s="46" t="n"/>
      <c r="G435" s="46" t="n"/>
    </row>
    <row r="436" ht="22.5" customHeight="1" s="23">
      <c r="A436" s="46" t="n"/>
      <c r="B436" s="46" t="n"/>
      <c r="C436" s="47" t="n"/>
      <c r="D436" s="46" t="n"/>
      <c r="E436" s="46" t="n"/>
      <c r="F436" s="46" t="n"/>
      <c r="G436" s="46" t="n"/>
    </row>
    <row r="437" ht="22.5" customHeight="1" s="23">
      <c r="A437" s="46" t="n"/>
      <c r="B437" s="46" t="n"/>
      <c r="C437" s="47" t="n"/>
      <c r="D437" s="46" t="n"/>
      <c r="E437" s="46" t="n"/>
      <c r="F437" s="46" t="n"/>
      <c r="G437" s="46" t="n"/>
    </row>
    <row r="438" ht="22.5" customHeight="1" s="23">
      <c r="A438" s="46" t="n"/>
      <c r="B438" s="46" t="n"/>
      <c r="C438" s="47" t="n"/>
      <c r="D438" s="46" t="n"/>
      <c r="E438" s="46" t="n"/>
      <c r="F438" s="46" t="n"/>
      <c r="G438" s="46" t="n"/>
    </row>
    <row r="439" ht="22.5" customHeight="1" s="23">
      <c r="A439" s="46" t="n"/>
      <c r="B439" s="46" t="n"/>
      <c r="C439" s="47" t="n"/>
      <c r="D439" s="46" t="n"/>
      <c r="E439" s="46" t="n"/>
      <c r="F439" s="46" t="n"/>
      <c r="G439" s="46" t="n"/>
    </row>
    <row r="440" ht="22.5" customHeight="1" s="23">
      <c r="A440" s="46" t="n"/>
      <c r="B440" s="46" t="n"/>
      <c r="C440" s="47" t="n"/>
      <c r="D440" s="46" t="n"/>
      <c r="E440" s="46" t="n"/>
      <c r="F440" s="46" t="n"/>
      <c r="G440" s="46" t="n"/>
    </row>
    <row r="441" ht="22.5" customHeight="1" s="23">
      <c r="A441" s="46" t="n"/>
      <c r="B441" s="46" t="n"/>
      <c r="C441" s="47" t="n"/>
      <c r="D441" s="46" t="n"/>
      <c r="E441" s="46" t="n"/>
      <c r="F441" s="46" t="n"/>
      <c r="G441" s="46" t="n"/>
    </row>
    <row r="442" ht="22.5" customHeight="1" s="23">
      <c r="A442" s="46" t="n"/>
      <c r="B442" s="46" t="n"/>
      <c r="C442" s="47" t="n"/>
      <c r="D442" s="46" t="n"/>
      <c r="E442" s="46" t="n"/>
      <c r="F442" s="46" t="n"/>
      <c r="G442" s="46" t="n"/>
    </row>
    <row r="443" ht="22.5" customHeight="1" s="23">
      <c r="A443" s="46" t="n"/>
      <c r="B443" s="46" t="n"/>
      <c r="C443" s="47" t="n"/>
      <c r="D443" s="46" t="n"/>
      <c r="E443" s="46" t="n"/>
      <c r="F443" s="46" t="n"/>
      <c r="G443" s="46" t="n"/>
    </row>
    <row r="444" ht="22.5" customHeight="1" s="23">
      <c r="A444" s="46" t="n"/>
      <c r="B444" s="46" t="n"/>
      <c r="C444" s="47" t="n"/>
      <c r="D444" s="46" t="n"/>
      <c r="E444" s="46" t="n"/>
      <c r="F444" s="46" t="n"/>
      <c r="G444" s="46" t="n"/>
    </row>
    <row r="445" ht="22.5" customHeight="1" s="23">
      <c r="A445" s="46" t="n"/>
      <c r="B445" s="46" t="n"/>
      <c r="C445" s="47" t="n"/>
      <c r="D445" s="46" t="n"/>
      <c r="E445" s="46" t="n"/>
      <c r="F445" s="46" t="n"/>
      <c r="G445" s="46" t="n"/>
    </row>
    <row r="446" ht="22.5" customHeight="1" s="23">
      <c r="A446" s="46" t="n"/>
      <c r="B446" s="46" t="n"/>
      <c r="C446" s="47" t="n"/>
      <c r="D446" s="46" t="n"/>
      <c r="E446" s="46" t="n"/>
      <c r="F446" s="46" t="n"/>
      <c r="G446" s="46" t="n"/>
    </row>
    <row r="447" ht="22.5" customHeight="1" s="23">
      <c r="A447" s="46" t="n"/>
      <c r="B447" s="46" t="n"/>
      <c r="C447" s="47" t="n"/>
      <c r="D447" s="46" t="n"/>
      <c r="E447" s="46" t="n"/>
      <c r="F447" s="46" t="n"/>
      <c r="G447" s="46" t="n"/>
    </row>
    <row r="448" ht="22.5" customHeight="1" s="23">
      <c r="A448" s="46" t="n"/>
      <c r="B448" s="46" t="n"/>
      <c r="C448" s="47" t="n"/>
      <c r="D448" s="46" t="n"/>
      <c r="E448" s="46" t="n"/>
      <c r="F448" s="46" t="n"/>
      <c r="G448" s="46" t="n"/>
    </row>
    <row r="449" ht="22.5" customHeight="1" s="23">
      <c r="A449" s="46" t="n"/>
      <c r="B449" s="46" t="n"/>
      <c r="C449" s="47" t="n"/>
      <c r="D449" s="46" t="n"/>
      <c r="E449" s="46" t="n"/>
      <c r="F449" s="46" t="n"/>
      <c r="G449" s="46" t="n"/>
    </row>
    <row r="450" ht="22.5" customHeight="1" s="23">
      <c r="A450" s="46" t="n"/>
      <c r="B450" s="46" t="n"/>
      <c r="C450" s="47" t="n"/>
      <c r="D450" s="46" t="n"/>
      <c r="E450" s="46" t="n"/>
      <c r="F450" s="46" t="n"/>
      <c r="G450" s="46" t="n"/>
    </row>
    <row r="451" ht="22.5" customHeight="1" s="23">
      <c r="A451" s="46" t="n"/>
      <c r="B451" s="46" t="n"/>
      <c r="C451" s="47" t="n"/>
      <c r="D451" s="46" t="n"/>
      <c r="E451" s="46" t="n"/>
      <c r="F451" s="46" t="n"/>
      <c r="G451" s="46" t="n"/>
    </row>
    <row r="452" ht="22.5" customHeight="1" s="23">
      <c r="A452" s="46" t="n"/>
      <c r="B452" s="46" t="n"/>
      <c r="C452" s="47" t="n"/>
      <c r="D452" s="46" t="n"/>
      <c r="E452" s="46" t="n"/>
      <c r="F452" s="46" t="n"/>
      <c r="G452" s="46" t="n"/>
    </row>
    <row r="453" ht="22.5" customHeight="1" s="23">
      <c r="A453" s="46" t="n"/>
      <c r="B453" s="46" t="n"/>
      <c r="C453" s="47" t="n"/>
      <c r="D453" s="46" t="n"/>
      <c r="E453" s="46" t="n"/>
      <c r="F453" s="46" t="n"/>
      <c r="G453" s="46" t="n"/>
    </row>
    <row r="454" ht="22.5" customHeight="1" s="23">
      <c r="A454" s="46" t="n"/>
      <c r="B454" s="46" t="n"/>
      <c r="C454" s="47" t="n"/>
      <c r="D454" s="46" t="n"/>
      <c r="E454" s="46" t="n"/>
      <c r="F454" s="46" t="n"/>
      <c r="G454" s="46" t="n"/>
    </row>
    <row r="455" ht="22.5" customHeight="1" s="23">
      <c r="A455" s="46" t="n"/>
      <c r="B455" s="46" t="n"/>
      <c r="C455" s="47" t="n"/>
      <c r="D455" s="46" t="n"/>
      <c r="E455" s="46" t="n"/>
      <c r="F455" s="46" t="n"/>
      <c r="G455" s="46" t="n"/>
    </row>
    <row r="456" ht="22.5" customHeight="1" s="23">
      <c r="A456" s="46" t="n"/>
      <c r="B456" s="46" t="n"/>
      <c r="C456" s="47" t="n"/>
      <c r="D456" s="46" t="n"/>
      <c r="E456" s="46" t="n"/>
      <c r="F456" s="46" t="n"/>
      <c r="G456" s="46" t="n"/>
    </row>
    <row r="457" ht="22.5" customHeight="1" s="23">
      <c r="A457" s="46" t="n"/>
      <c r="B457" s="46" t="n"/>
      <c r="C457" s="47" t="n"/>
      <c r="D457" s="46" t="n"/>
      <c r="E457" s="46" t="n"/>
      <c r="F457" s="46" t="n"/>
      <c r="G457" s="46" t="n"/>
    </row>
    <row r="458" ht="22.5" customHeight="1" s="23">
      <c r="A458" s="46" t="n"/>
      <c r="B458" s="46" t="n"/>
      <c r="C458" s="47" t="n"/>
      <c r="D458" s="46" t="n"/>
      <c r="E458" s="46" t="n"/>
      <c r="F458" s="46" t="n"/>
      <c r="G458" s="46" t="n"/>
    </row>
    <row r="459" ht="22.5" customHeight="1" s="23">
      <c r="A459" s="46" t="n"/>
      <c r="B459" s="46" t="n"/>
      <c r="C459" s="47" t="n"/>
      <c r="D459" s="46" t="n"/>
      <c r="E459" s="46" t="n"/>
      <c r="F459" s="46" t="n"/>
      <c r="G459" s="46" t="n"/>
    </row>
    <row r="460" ht="22.5" customHeight="1" s="23">
      <c r="A460" s="46" t="n"/>
      <c r="B460" s="46" t="n"/>
      <c r="C460" s="47" t="n"/>
      <c r="D460" s="46" t="n"/>
      <c r="E460" s="46" t="n"/>
      <c r="F460" s="46" t="n"/>
      <c r="G460" s="46" t="n"/>
    </row>
    <row r="461" ht="22.5" customHeight="1" s="23">
      <c r="A461" s="46" t="n"/>
      <c r="B461" s="46" t="n"/>
      <c r="C461" s="47" t="n"/>
      <c r="D461" s="46" t="n"/>
      <c r="E461" s="46" t="n"/>
      <c r="F461" s="46" t="n"/>
      <c r="G461" s="46" t="n"/>
    </row>
    <row r="462" ht="22.5" customHeight="1" s="23">
      <c r="A462" s="46" t="n"/>
      <c r="B462" s="46" t="n"/>
      <c r="C462" s="47" t="n"/>
      <c r="D462" s="46" t="n"/>
      <c r="E462" s="46" t="n"/>
      <c r="F462" s="46" t="n"/>
      <c r="G462" s="46" t="n"/>
    </row>
    <row r="463" ht="22.5" customHeight="1" s="23">
      <c r="A463" s="46" t="n"/>
      <c r="B463" s="46" t="n"/>
      <c r="C463" s="47" t="n"/>
      <c r="D463" s="46" t="n"/>
      <c r="E463" s="46" t="n"/>
      <c r="F463" s="46" t="n"/>
      <c r="G463" s="46" t="n"/>
    </row>
    <row r="464" ht="22.5" customHeight="1" s="23">
      <c r="A464" s="46" t="n"/>
      <c r="B464" s="46" t="n"/>
      <c r="C464" s="47" t="n"/>
      <c r="D464" s="46" t="n"/>
      <c r="E464" s="46" t="n"/>
      <c r="F464" s="46" t="n"/>
      <c r="G464" s="46" t="n"/>
    </row>
    <row r="465" ht="22.5" customHeight="1" s="23">
      <c r="A465" s="46" t="n"/>
      <c r="B465" s="46" t="n"/>
      <c r="C465" s="47" t="n"/>
      <c r="D465" s="46" t="n"/>
      <c r="E465" s="46" t="n"/>
      <c r="F465" s="46" t="n"/>
      <c r="G465" s="46" t="n"/>
    </row>
    <row r="466" ht="22.5" customHeight="1" s="23">
      <c r="A466" s="46" t="n"/>
      <c r="B466" s="46" t="n"/>
      <c r="C466" s="47" t="n"/>
      <c r="D466" s="46" t="n"/>
      <c r="E466" s="46" t="n"/>
      <c r="F466" s="46" t="n"/>
      <c r="G466" s="46" t="n"/>
    </row>
    <row r="467" ht="22.5" customHeight="1" s="23">
      <c r="A467" s="46" t="n"/>
      <c r="B467" s="46" t="n"/>
      <c r="C467" s="47" t="n"/>
      <c r="D467" s="46" t="n"/>
      <c r="E467" s="46" t="n"/>
      <c r="F467" s="46" t="n"/>
      <c r="G467" s="46" t="n"/>
    </row>
    <row r="468" ht="22.5" customHeight="1" s="23">
      <c r="A468" s="46" t="n"/>
      <c r="B468" s="46" t="n"/>
      <c r="C468" s="47" t="n"/>
      <c r="D468" s="46" t="n"/>
      <c r="E468" s="46" t="n"/>
      <c r="F468" s="46" t="n"/>
      <c r="G468" s="46" t="n"/>
    </row>
    <row r="469" ht="22.5" customHeight="1" s="23">
      <c r="A469" s="46" t="n"/>
      <c r="B469" s="46" t="n"/>
      <c r="C469" s="47" t="n"/>
      <c r="D469" s="46" t="n"/>
      <c r="E469" s="46" t="n"/>
      <c r="F469" s="46" t="n"/>
      <c r="G469" s="46" t="n"/>
    </row>
    <row r="470" ht="22.5" customHeight="1" s="23">
      <c r="A470" s="46" t="n"/>
      <c r="B470" s="46" t="n"/>
      <c r="C470" s="47" t="n"/>
      <c r="D470" s="46" t="n"/>
      <c r="E470" s="46" t="n"/>
      <c r="F470" s="46" t="n"/>
      <c r="G470" s="46" t="n"/>
    </row>
    <row r="471" ht="22.5" customHeight="1" s="23">
      <c r="A471" s="46" t="n"/>
      <c r="B471" s="46" t="n"/>
      <c r="C471" s="47" t="n"/>
      <c r="D471" s="46" t="n"/>
      <c r="E471" s="46" t="n"/>
      <c r="F471" s="46" t="n"/>
      <c r="G471" s="46" t="n"/>
    </row>
    <row r="472" ht="22.5" customHeight="1" s="23">
      <c r="A472" s="46" t="n"/>
      <c r="B472" s="46" t="n"/>
      <c r="C472" s="47" t="n"/>
      <c r="D472" s="46" t="n"/>
      <c r="E472" s="46" t="n"/>
      <c r="F472" s="46" t="n"/>
      <c r="G472" s="46" t="n"/>
    </row>
    <row r="473" ht="22.5" customHeight="1" s="23">
      <c r="A473" s="46" t="n"/>
      <c r="B473" s="46" t="n"/>
      <c r="C473" s="47" t="n"/>
      <c r="D473" s="46" t="n"/>
      <c r="E473" s="46" t="n"/>
      <c r="F473" s="46" t="n"/>
      <c r="G473" s="46" t="n"/>
    </row>
    <row r="474" ht="22.5" customHeight="1" s="23">
      <c r="A474" s="46" t="n"/>
      <c r="B474" s="46" t="n"/>
      <c r="C474" s="47" t="n"/>
      <c r="D474" s="46" t="n"/>
      <c r="E474" s="46" t="n"/>
      <c r="F474" s="46" t="n"/>
      <c r="G474" s="46" t="n"/>
    </row>
    <row r="475" ht="22.5" customHeight="1" s="23">
      <c r="A475" s="46" t="n"/>
      <c r="B475" s="46" t="n"/>
      <c r="C475" s="47" t="n"/>
      <c r="D475" s="46" t="n"/>
      <c r="E475" s="46" t="n"/>
      <c r="F475" s="46" t="n"/>
      <c r="G475" s="46" t="n"/>
    </row>
    <row r="476" ht="22.5" customHeight="1" s="23">
      <c r="A476" s="46" t="n"/>
      <c r="B476" s="46" t="n"/>
      <c r="C476" s="47" t="n"/>
      <c r="D476" s="46" t="n"/>
      <c r="E476" s="46" t="n"/>
      <c r="F476" s="46" t="n"/>
      <c r="G476" s="46" t="n"/>
    </row>
    <row r="477" ht="22.5" customHeight="1" s="23">
      <c r="A477" s="46" t="n"/>
      <c r="B477" s="46" t="n"/>
      <c r="C477" s="47" t="n"/>
      <c r="D477" s="46" t="n"/>
      <c r="E477" s="46" t="n"/>
      <c r="F477" s="46" t="n"/>
      <c r="G477" s="46" t="n"/>
    </row>
    <row r="478" ht="22.5" customHeight="1" s="23">
      <c r="A478" s="46" t="n"/>
      <c r="B478" s="46" t="n"/>
      <c r="C478" s="47" t="n"/>
      <c r="D478" s="46" t="n"/>
      <c r="E478" s="46" t="n"/>
      <c r="F478" s="46" t="n"/>
      <c r="G478" s="46" t="n"/>
    </row>
    <row r="479" ht="22.5" customHeight="1" s="23">
      <c r="A479" s="46" t="n"/>
      <c r="B479" s="46" t="n"/>
      <c r="C479" s="47" t="n"/>
      <c r="D479" s="46" t="n"/>
      <c r="E479" s="46" t="n"/>
      <c r="F479" s="46" t="n"/>
      <c r="G479" s="46" t="n"/>
    </row>
    <row r="480" ht="22.5" customHeight="1" s="23">
      <c r="A480" s="46" t="n"/>
      <c r="B480" s="46" t="n"/>
      <c r="C480" s="47" t="n"/>
      <c r="D480" s="46" t="n"/>
      <c r="E480" s="46" t="n"/>
      <c r="F480" s="46" t="n"/>
      <c r="G480" s="46" t="n"/>
    </row>
    <row r="481" ht="22.5" customHeight="1" s="23">
      <c r="A481" s="46" t="n"/>
      <c r="B481" s="46" t="n"/>
      <c r="C481" s="47" t="n"/>
      <c r="D481" s="46" t="n"/>
      <c r="E481" s="46" t="n"/>
      <c r="F481" s="46" t="n"/>
      <c r="G481" s="46" t="n"/>
    </row>
    <row r="482" ht="22.5" customHeight="1" s="23">
      <c r="A482" s="46" t="n"/>
      <c r="B482" s="46" t="n"/>
      <c r="C482" s="47" t="n"/>
      <c r="D482" s="46" t="n"/>
      <c r="E482" s="46" t="n"/>
      <c r="F482" s="46" t="n"/>
      <c r="G482" s="46" t="n"/>
    </row>
    <row r="483" ht="22.5" customHeight="1" s="23">
      <c r="A483" s="46" t="n"/>
      <c r="B483" s="46" t="n"/>
      <c r="C483" s="47" t="n"/>
      <c r="D483" s="46" t="n"/>
      <c r="E483" s="46" t="n"/>
      <c r="F483" s="46" t="n"/>
      <c r="G483" s="46" t="n"/>
    </row>
    <row r="484" ht="22.5" customHeight="1" s="23">
      <c r="A484" s="46" t="n"/>
      <c r="B484" s="46" t="n"/>
      <c r="C484" s="47" t="n"/>
      <c r="D484" s="46" t="n"/>
      <c r="E484" s="46" t="n"/>
      <c r="F484" s="46" t="n"/>
      <c r="G484" s="46" t="n"/>
    </row>
    <row r="485" ht="22.5" customHeight="1" s="23">
      <c r="A485" s="46" t="n"/>
      <c r="B485" s="46" t="n"/>
      <c r="C485" s="47" t="n"/>
      <c r="D485" s="46" t="n"/>
      <c r="E485" s="46" t="n"/>
      <c r="F485" s="46" t="n"/>
      <c r="G485" s="46" t="n"/>
    </row>
    <row r="486" ht="22.5" customHeight="1" s="23">
      <c r="A486" s="46" t="n"/>
      <c r="B486" s="46" t="n"/>
      <c r="C486" s="47" t="n"/>
      <c r="D486" s="46" t="n"/>
      <c r="E486" s="46" t="n"/>
      <c r="F486" s="46" t="n"/>
      <c r="G486" s="46" t="n"/>
    </row>
    <row r="487" ht="22.5" customHeight="1" s="23">
      <c r="A487" s="46" t="n"/>
      <c r="B487" s="46" t="n"/>
      <c r="C487" s="47" t="n"/>
      <c r="D487" s="46" t="n"/>
      <c r="E487" s="46" t="n"/>
      <c r="F487" s="46" t="n"/>
      <c r="G487" s="46" t="n"/>
    </row>
    <row r="488" ht="22.5" customHeight="1" s="23">
      <c r="A488" s="46" t="n"/>
      <c r="B488" s="46" t="n"/>
      <c r="C488" s="47" t="n"/>
      <c r="D488" s="46" t="n"/>
      <c r="E488" s="46" t="n"/>
      <c r="F488" s="46" t="n"/>
      <c r="G488" s="46" t="n"/>
    </row>
    <row r="489" ht="22.5" customHeight="1" s="23">
      <c r="A489" s="46" t="n"/>
      <c r="B489" s="46" t="n"/>
      <c r="C489" s="47" t="n"/>
      <c r="D489" s="46" t="n"/>
      <c r="E489" s="46" t="n"/>
      <c r="F489" s="46" t="n"/>
      <c r="G489" s="46" t="n"/>
    </row>
    <row r="490" ht="22.5" customHeight="1" s="23">
      <c r="A490" s="46" t="n"/>
      <c r="B490" s="46" t="n"/>
      <c r="C490" s="47" t="n"/>
      <c r="D490" s="46" t="n"/>
      <c r="E490" s="46" t="n"/>
      <c r="F490" s="46" t="n"/>
      <c r="G490" s="46" t="n"/>
    </row>
    <row r="491" ht="22.5" customHeight="1" s="23">
      <c r="A491" s="46" t="n"/>
      <c r="B491" s="46" t="n"/>
      <c r="C491" s="47" t="n"/>
      <c r="D491" s="46" t="n"/>
      <c r="E491" s="46" t="n"/>
      <c r="F491" s="46" t="n"/>
      <c r="G491" s="46" t="n"/>
    </row>
    <row r="492" ht="22.5" customHeight="1" s="23">
      <c r="A492" s="46" t="n"/>
      <c r="B492" s="46" t="n"/>
      <c r="C492" s="47" t="n"/>
      <c r="D492" s="46" t="n"/>
      <c r="E492" s="46" t="n"/>
      <c r="F492" s="46" t="n"/>
      <c r="G492" s="46" t="n"/>
    </row>
    <row r="493" ht="22.5" customHeight="1" s="23">
      <c r="A493" s="46" t="n"/>
      <c r="B493" s="46" t="n"/>
      <c r="C493" s="47" t="n"/>
      <c r="D493" s="46" t="n"/>
      <c r="E493" s="46" t="n"/>
      <c r="F493" s="46" t="n"/>
      <c r="G493" s="46" t="n"/>
    </row>
    <row r="494" ht="22.5" customHeight="1" s="23">
      <c r="A494" s="46" t="n"/>
      <c r="B494" s="46" t="n"/>
      <c r="C494" s="47" t="n"/>
      <c r="D494" s="46" t="n"/>
      <c r="E494" s="46" t="n"/>
      <c r="F494" s="46" t="n"/>
      <c r="G494" s="46" t="n"/>
    </row>
    <row r="495" ht="22.5" customHeight="1" s="23">
      <c r="A495" s="46" t="n"/>
      <c r="B495" s="46" t="n"/>
      <c r="C495" s="47" t="n"/>
      <c r="D495" s="46" t="n"/>
      <c r="E495" s="46" t="n"/>
      <c r="F495" s="46" t="n"/>
      <c r="G495" s="46" t="n"/>
    </row>
    <row r="496" ht="22.5" customHeight="1" s="23">
      <c r="A496" s="46" t="n"/>
      <c r="B496" s="46" t="n"/>
      <c r="C496" s="47" t="n"/>
      <c r="D496" s="46" t="n"/>
      <c r="E496" s="46" t="n"/>
      <c r="F496" s="46" t="n"/>
      <c r="G496" s="46" t="n"/>
    </row>
    <row r="497" ht="22.5" customHeight="1" s="23">
      <c r="A497" s="46" t="n"/>
      <c r="B497" s="46" t="n"/>
      <c r="C497" s="47" t="n"/>
      <c r="D497" s="46" t="n"/>
      <c r="E497" s="46" t="n"/>
      <c r="F497" s="46" t="n"/>
      <c r="G497" s="46" t="n"/>
    </row>
    <row r="498" ht="22.5" customHeight="1" s="23">
      <c r="A498" s="46" t="n"/>
      <c r="B498" s="46" t="n"/>
      <c r="C498" s="47" t="n"/>
      <c r="D498" s="46" t="n"/>
      <c r="E498" s="46" t="n"/>
      <c r="F498" s="46" t="n"/>
      <c r="G498" s="46" t="n"/>
    </row>
    <row r="499" ht="22.5" customHeight="1" s="23">
      <c r="A499" s="46" t="n"/>
      <c r="B499" s="46" t="n"/>
      <c r="C499" s="47" t="n"/>
      <c r="D499" s="46" t="n"/>
      <c r="E499" s="46" t="n"/>
      <c r="F499" s="46" t="n"/>
      <c r="G499" s="46" t="n"/>
    </row>
    <row r="500" ht="22.5" customHeight="1" s="23">
      <c r="A500" s="46" t="n"/>
      <c r="B500" s="46" t="n"/>
      <c r="C500" s="47" t="n"/>
      <c r="D500" s="46" t="n"/>
      <c r="E500" s="46" t="n"/>
      <c r="F500" s="46" t="n"/>
      <c r="G500" s="46" t="n"/>
    </row>
    <row r="501" ht="22.5" customHeight="1" s="23">
      <c r="A501" s="46" t="n"/>
      <c r="B501" s="46" t="n"/>
      <c r="C501" s="47" t="n"/>
      <c r="D501" s="46" t="n"/>
      <c r="E501" s="46" t="n"/>
      <c r="F501" s="46" t="n"/>
      <c r="G501" s="46" t="n"/>
    </row>
    <row r="502" ht="22.5" customHeight="1" s="23">
      <c r="A502" s="46" t="n"/>
      <c r="B502" s="46" t="n"/>
      <c r="C502" s="47" t="n"/>
      <c r="D502" s="46" t="n"/>
      <c r="E502" s="46" t="n"/>
      <c r="F502" s="46" t="n"/>
      <c r="G502" s="46" t="n"/>
    </row>
    <row r="503" ht="22.5" customHeight="1" s="23">
      <c r="A503" s="46" t="n"/>
      <c r="B503" s="46" t="n"/>
      <c r="C503" s="47" t="n"/>
      <c r="D503" s="46" t="n"/>
      <c r="E503" s="46" t="n"/>
      <c r="F503" s="46" t="n"/>
      <c r="G503" s="46" t="n"/>
    </row>
    <row r="504" ht="22.5" customHeight="1" s="23">
      <c r="A504" s="46" t="n"/>
      <c r="B504" s="46" t="n"/>
      <c r="C504" s="47" t="n"/>
      <c r="D504" s="46" t="n"/>
      <c r="E504" s="46" t="n"/>
      <c r="F504" s="46" t="n"/>
      <c r="G504" s="46" t="n"/>
    </row>
    <row r="505" ht="22.5" customHeight="1" s="23">
      <c r="A505" s="46" t="n"/>
      <c r="B505" s="46" t="n"/>
      <c r="C505" s="47" t="n"/>
      <c r="D505" s="46" t="n"/>
      <c r="E505" s="46" t="n"/>
      <c r="F505" s="46" t="n"/>
      <c r="G505" s="46" t="n"/>
    </row>
    <row r="506" ht="22.5" customHeight="1" s="23">
      <c r="A506" s="46" t="n"/>
      <c r="B506" s="46" t="n"/>
      <c r="C506" s="47" t="n"/>
      <c r="D506" s="46" t="n"/>
      <c r="E506" s="46" t="n"/>
      <c r="F506" s="46" t="n"/>
      <c r="G506" s="46" t="n"/>
    </row>
    <row r="507" ht="22.5" customHeight="1" s="23">
      <c r="A507" s="46" t="n"/>
      <c r="B507" s="46" t="n"/>
      <c r="C507" s="47" t="n"/>
      <c r="D507" s="46" t="n"/>
      <c r="E507" s="46" t="n"/>
      <c r="F507" s="46" t="n"/>
      <c r="G507" s="46" t="n"/>
    </row>
    <row r="508" ht="22.5" customHeight="1" s="23">
      <c r="A508" s="46" t="n"/>
      <c r="B508" s="46" t="n"/>
      <c r="C508" s="47" t="n"/>
      <c r="D508" s="46" t="n"/>
      <c r="E508" s="46" t="n"/>
      <c r="F508" s="46" t="n"/>
      <c r="G508" s="46" t="n"/>
    </row>
    <row r="509" ht="22.5" customHeight="1" s="23">
      <c r="A509" s="46" t="n"/>
      <c r="B509" s="46" t="n"/>
      <c r="C509" s="47" t="n"/>
      <c r="D509" s="46" t="n"/>
      <c r="E509" s="46" t="n"/>
      <c r="F509" s="46" t="n"/>
      <c r="G509" s="46" t="n"/>
    </row>
    <row r="510" ht="22.5" customHeight="1" s="23">
      <c r="A510" s="46" t="n"/>
      <c r="B510" s="46" t="n"/>
      <c r="C510" s="47" t="n"/>
      <c r="D510" s="46" t="n"/>
      <c r="E510" s="46" t="n"/>
      <c r="F510" s="46" t="n"/>
      <c r="G510" s="46" t="n"/>
    </row>
    <row r="511" ht="22.5" customHeight="1" s="23">
      <c r="A511" s="46" t="n"/>
      <c r="B511" s="46" t="n"/>
      <c r="C511" s="47" t="n"/>
      <c r="D511" s="46" t="n"/>
      <c r="E511" s="46" t="n"/>
      <c r="F511" s="46" t="n"/>
      <c r="G511" s="46" t="n"/>
    </row>
    <row r="512" ht="22.5" customHeight="1" s="23">
      <c r="A512" s="46" t="n"/>
      <c r="B512" s="46" t="n"/>
      <c r="C512" s="47" t="n"/>
      <c r="D512" s="46" t="n"/>
      <c r="E512" s="46" t="n"/>
      <c r="F512" s="46" t="n"/>
      <c r="G512" s="46" t="n"/>
    </row>
    <row r="513" ht="22.5" customHeight="1" s="23">
      <c r="A513" s="46" t="n"/>
      <c r="B513" s="46" t="n"/>
      <c r="C513" s="47" t="n"/>
      <c r="D513" s="46" t="n"/>
      <c r="E513" s="46" t="n"/>
      <c r="F513" s="46" t="n"/>
      <c r="G513" s="46" t="n"/>
    </row>
    <row r="514" ht="22.5" customHeight="1" s="23">
      <c r="A514" s="46" t="n"/>
      <c r="B514" s="46" t="n"/>
      <c r="C514" s="47" t="n"/>
      <c r="D514" s="46" t="n"/>
      <c r="E514" s="46" t="n"/>
      <c r="F514" s="46" t="n"/>
      <c r="G514" s="46" t="n"/>
    </row>
    <row r="515" ht="22.5" customHeight="1" s="23">
      <c r="A515" s="46" t="n"/>
      <c r="B515" s="46" t="n"/>
      <c r="C515" s="47" t="n"/>
      <c r="D515" s="46" t="n"/>
      <c r="E515" s="46" t="n"/>
      <c r="F515" s="46" t="n"/>
      <c r="G515" s="46" t="n"/>
    </row>
    <row r="516" ht="22.5" customHeight="1" s="23">
      <c r="A516" s="46" t="n"/>
      <c r="B516" s="46" t="n"/>
      <c r="C516" s="47" t="n"/>
      <c r="D516" s="46" t="n"/>
      <c r="E516" s="46" t="n"/>
      <c r="F516" s="46" t="n"/>
      <c r="G516" s="46" t="n"/>
    </row>
    <row r="517" ht="22.5" customHeight="1" s="23">
      <c r="A517" s="46" t="n"/>
      <c r="B517" s="46" t="n"/>
      <c r="C517" s="47" t="n"/>
      <c r="D517" s="46" t="n"/>
      <c r="E517" s="46" t="n"/>
      <c r="F517" s="46" t="n"/>
      <c r="G517" s="46" t="n"/>
    </row>
    <row r="518" ht="22.5" customHeight="1" s="23">
      <c r="A518" s="46" t="n"/>
      <c r="B518" s="46" t="n"/>
      <c r="C518" s="47" t="n"/>
      <c r="D518" s="46" t="n"/>
      <c r="E518" s="46" t="n"/>
      <c r="F518" s="46" t="n"/>
      <c r="G518" s="46" t="n"/>
    </row>
    <row r="519" ht="22.5" customHeight="1" s="23">
      <c r="A519" s="46" t="n"/>
      <c r="B519" s="46" t="n"/>
      <c r="C519" s="47" t="n"/>
      <c r="D519" s="46" t="n"/>
      <c r="E519" s="46" t="n"/>
      <c r="F519" s="46" t="n"/>
      <c r="G519" s="46" t="n"/>
    </row>
    <row r="520" ht="22.5" customHeight="1" s="23">
      <c r="A520" s="46" t="n"/>
      <c r="B520" s="46" t="n"/>
      <c r="C520" s="47" t="n"/>
      <c r="D520" s="46" t="n"/>
      <c r="E520" s="46" t="n"/>
      <c r="F520" s="46" t="n"/>
      <c r="G520" s="46" t="n"/>
    </row>
    <row r="521" ht="22.5" customHeight="1" s="23">
      <c r="A521" s="46" t="n"/>
      <c r="B521" s="46" t="n"/>
      <c r="C521" s="47" t="n"/>
      <c r="D521" s="46" t="n"/>
      <c r="E521" s="46" t="n"/>
      <c r="F521" s="46" t="n"/>
      <c r="G521" s="46" t="n"/>
    </row>
    <row r="522" ht="22.5" customHeight="1" s="23">
      <c r="A522" s="46" t="n"/>
      <c r="B522" s="46" t="n"/>
      <c r="C522" s="47" t="n"/>
      <c r="D522" s="46" t="n"/>
      <c r="E522" s="46" t="n"/>
      <c r="F522" s="46" t="n"/>
      <c r="G522" s="46" t="n"/>
    </row>
    <row r="523" ht="22.5" customHeight="1" s="23">
      <c r="A523" s="46" t="n"/>
      <c r="B523" s="46" t="n"/>
      <c r="C523" s="47" t="n"/>
      <c r="D523" s="46" t="n"/>
      <c r="E523" s="46" t="n"/>
      <c r="F523" s="46" t="n"/>
      <c r="G523" s="46" t="n"/>
    </row>
    <row r="524" ht="22.5" customHeight="1" s="23">
      <c r="A524" s="46" t="n"/>
      <c r="B524" s="46" t="n"/>
      <c r="C524" s="47" t="n"/>
      <c r="D524" s="46" t="n"/>
      <c r="E524" s="46" t="n"/>
      <c r="F524" s="46" t="n"/>
      <c r="G524" s="46" t="n"/>
    </row>
    <row r="525" ht="22.5" customHeight="1" s="23">
      <c r="A525" s="46" t="n"/>
      <c r="B525" s="46" t="n"/>
      <c r="C525" s="47" t="n"/>
      <c r="D525" s="46" t="n"/>
      <c r="E525" s="46" t="n"/>
      <c r="F525" s="46" t="n"/>
      <c r="G525" s="46" t="n"/>
    </row>
    <row r="526" ht="22.5" customHeight="1" s="23">
      <c r="A526" s="46" t="n"/>
      <c r="B526" s="46" t="n"/>
      <c r="C526" s="47" t="n"/>
      <c r="D526" s="46" t="n"/>
      <c r="E526" s="46" t="n"/>
      <c r="F526" s="46" t="n"/>
      <c r="G526" s="46" t="n"/>
    </row>
    <row r="527" ht="22.5" customHeight="1" s="23">
      <c r="A527" s="46" t="n"/>
      <c r="B527" s="46" t="n"/>
      <c r="C527" s="47" t="n"/>
      <c r="D527" s="46" t="n"/>
      <c r="E527" s="46" t="n"/>
      <c r="F527" s="46" t="n"/>
      <c r="G527" s="46" t="n"/>
    </row>
    <row r="528" ht="22.5" customHeight="1" s="23">
      <c r="A528" s="46" t="n"/>
      <c r="B528" s="46" t="n"/>
      <c r="C528" s="47" t="n"/>
      <c r="D528" s="46" t="n"/>
      <c r="E528" s="46" t="n"/>
      <c r="F528" s="46" t="n"/>
      <c r="G528" s="46" t="n"/>
    </row>
    <row r="529" ht="22.5" customHeight="1" s="23">
      <c r="A529" s="46" t="n"/>
      <c r="B529" s="46" t="n"/>
      <c r="C529" s="47" t="n"/>
      <c r="D529" s="46" t="n"/>
      <c r="E529" s="46" t="n"/>
      <c r="F529" s="46" t="n"/>
      <c r="G529" s="46" t="n"/>
    </row>
    <row r="530" ht="22.5" customHeight="1" s="23">
      <c r="A530" s="46" t="n"/>
      <c r="B530" s="46" t="n"/>
      <c r="C530" s="47" t="n"/>
      <c r="D530" s="46" t="n"/>
      <c r="E530" s="46" t="n"/>
      <c r="F530" s="46" t="n"/>
      <c r="G530" s="46" t="n"/>
    </row>
    <row r="531" ht="22.5" customHeight="1" s="23">
      <c r="A531" s="46" t="n"/>
      <c r="B531" s="46" t="n"/>
      <c r="C531" s="47" t="n"/>
      <c r="D531" s="46" t="n"/>
      <c r="E531" s="46" t="n"/>
      <c r="F531" s="46" t="n"/>
      <c r="G531" s="46" t="n"/>
    </row>
    <row r="532" ht="22.5" customHeight="1" s="23">
      <c r="A532" s="46" t="n"/>
      <c r="B532" s="46" t="n"/>
      <c r="C532" s="47" t="n"/>
      <c r="D532" s="46" t="n"/>
      <c r="E532" s="46" t="n"/>
      <c r="F532" s="46" t="n"/>
      <c r="G532" s="46" t="n"/>
    </row>
    <row r="533" ht="22.5" customHeight="1" s="23">
      <c r="A533" s="46" t="n"/>
      <c r="B533" s="46" t="n"/>
      <c r="C533" s="47" t="n"/>
      <c r="D533" s="46" t="n"/>
      <c r="E533" s="46" t="n"/>
      <c r="F533" s="46" t="n"/>
      <c r="G533" s="46" t="n"/>
    </row>
    <row r="534" ht="22.5" customHeight="1" s="23">
      <c r="A534" s="46" t="n"/>
      <c r="B534" s="46" t="n"/>
      <c r="C534" s="47" t="n"/>
      <c r="D534" s="46" t="n"/>
      <c r="E534" s="46" t="n"/>
      <c r="F534" s="46" t="n"/>
      <c r="G534" s="46" t="n"/>
    </row>
    <row r="535" ht="22.5" customHeight="1" s="23">
      <c r="A535" s="46" t="n"/>
      <c r="B535" s="46" t="n"/>
      <c r="C535" s="47" t="n"/>
      <c r="D535" s="46" t="n"/>
      <c r="E535" s="46" t="n"/>
      <c r="F535" s="46" t="n"/>
      <c r="G535" s="46" t="n"/>
    </row>
    <row r="536" ht="22.5" customHeight="1" s="23">
      <c r="A536" s="46" t="n"/>
      <c r="B536" s="46" t="n"/>
      <c r="C536" s="47" t="n"/>
      <c r="D536" s="46" t="n"/>
      <c r="E536" s="46" t="n"/>
      <c r="F536" s="46" t="n"/>
      <c r="G536" s="46" t="n"/>
    </row>
    <row r="537" ht="22.5" customHeight="1" s="23">
      <c r="A537" s="46" t="n"/>
      <c r="B537" s="46" t="n"/>
      <c r="C537" s="47" t="n"/>
      <c r="D537" s="46" t="n"/>
      <c r="E537" s="46" t="n"/>
      <c r="F537" s="46" t="n"/>
      <c r="G537" s="46" t="n"/>
    </row>
    <row r="538" ht="22.5" customHeight="1" s="23">
      <c r="A538" s="46" t="n"/>
      <c r="B538" s="46" t="n"/>
      <c r="C538" s="47" t="n"/>
      <c r="D538" s="46" t="n"/>
      <c r="E538" s="46" t="n"/>
      <c r="F538" s="46" t="n"/>
      <c r="G538" s="46" t="n"/>
    </row>
    <row r="539" ht="22.5" customHeight="1" s="23">
      <c r="A539" s="46" t="n"/>
      <c r="B539" s="46" t="n"/>
      <c r="C539" s="47" t="n"/>
      <c r="D539" s="46" t="n"/>
      <c r="E539" s="46" t="n"/>
      <c r="F539" s="46" t="n"/>
      <c r="G539" s="46" t="n"/>
    </row>
    <row r="540" ht="22.5" customHeight="1" s="23">
      <c r="A540" s="46" t="n"/>
      <c r="B540" s="46" t="n"/>
      <c r="C540" s="47" t="n"/>
      <c r="D540" s="46" t="n"/>
      <c r="E540" s="46" t="n"/>
      <c r="F540" s="46" t="n"/>
      <c r="G540" s="46" t="n"/>
    </row>
    <row r="541" ht="22.5" customHeight="1" s="23">
      <c r="A541" s="46" t="n"/>
      <c r="B541" s="46" t="n"/>
      <c r="C541" s="47" t="n"/>
      <c r="D541" s="46" t="n"/>
      <c r="E541" s="46" t="n"/>
      <c r="F541" s="46" t="n"/>
      <c r="G541" s="46" t="n"/>
    </row>
    <row r="542" ht="22.5" customHeight="1" s="23">
      <c r="A542" s="46" t="n"/>
      <c r="B542" s="46" t="n"/>
      <c r="C542" s="47" t="n"/>
      <c r="D542" s="46" t="n"/>
      <c r="E542" s="46" t="n"/>
      <c r="F542" s="46" t="n"/>
      <c r="G542" s="46" t="n"/>
    </row>
    <row r="543" ht="22.5" customHeight="1" s="23">
      <c r="A543" s="46" t="n"/>
      <c r="B543" s="46" t="n"/>
      <c r="C543" s="47" t="n"/>
      <c r="D543" s="46" t="n"/>
      <c r="E543" s="46" t="n"/>
      <c r="F543" s="46" t="n"/>
      <c r="G543" s="46" t="n"/>
    </row>
    <row r="544" ht="22.5" customHeight="1" s="23">
      <c r="A544" s="46" t="n"/>
      <c r="B544" s="46" t="n"/>
      <c r="C544" s="47" t="n"/>
      <c r="D544" s="46" t="n"/>
      <c r="E544" s="46" t="n"/>
      <c r="F544" s="46" t="n"/>
      <c r="G544" s="46" t="n"/>
    </row>
    <row r="545" ht="22.5" customHeight="1" s="23">
      <c r="A545" s="46" t="n"/>
      <c r="B545" s="46" t="n"/>
      <c r="C545" s="47" t="n"/>
      <c r="D545" s="46" t="n"/>
      <c r="E545" s="46" t="n"/>
      <c r="F545" s="46" t="n"/>
      <c r="G545" s="46" t="n"/>
    </row>
    <row r="546" ht="22.5" customHeight="1" s="23">
      <c r="A546" s="46" t="n"/>
      <c r="B546" s="46" t="n"/>
      <c r="C546" s="47" t="n"/>
      <c r="D546" s="46" t="n"/>
      <c r="E546" s="46" t="n"/>
      <c r="F546" s="46" t="n"/>
      <c r="G546" s="46" t="n"/>
    </row>
    <row r="547" ht="22.5" customHeight="1" s="23">
      <c r="A547" s="46" t="n"/>
      <c r="B547" s="46" t="n"/>
      <c r="C547" s="47" t="n"/>
      <c r="D547" s="46" t="n"/>
      <c r="E547" s="46" t="n"/>
      <c r="F547" s="46" t="n"/>
      <c r="G547" s="46" t="n"/>
    </row>
    <row r="548" ht="22.5" customHeight="1" s="23">
      <c r="A548" s="46" t="n"/>
      <c r="B548" s="46" t="n"/>
      <c r="C548" s="47" t="n"/>
      <c r="D548" s="46" t="n"/>
      <c r="E548" s="46" t="n"/>
      <c r="F548" s="46" t="n"/>
      <c r="G548" s="46" t="n"/>
    </row>
    <row r="549" ht="22.5" customHeight="1" s="23">
      <c r="A549" s="46" t="n"/>
      <c r="B549" s="46" t="n"/>
      <c r="C549" s="47" t="n"/>
      <c r="D549" s="46" t="n"/>
      <c r="E549" s="46" t="n"/>
      <c r="F549" s="46" t="n"/>
      <c r="G549" s="46" t="n"/>
    </row>
    <row r="550" ht="22.5" customHeight="1" s="23">
      <c r="A550" s="46" t="n"/>
      <c r="B550" s="46" t="n"/>
      <c r="C550" s="47" t="n"/>
      <c r="D550" s="46" t="n"/>
      <c r="E550" s="46" t="n"/>
      <c r="F550" s="46" t="n"/>
      <c r="G550" s="46" t="n"/>
    </row>
    <row r="551" ht="22.5" customHeight="1" s="23">
      <c r="A551" s="46" t="n"/>
      <c r="B551" s="46" t="n"/>
      <c r="C551" s="47" t="n"/>
      <c r="D551" s="46" t="n"/>
      <c r="E551" s="46" t="n"/>
      <c r="F551" s="46" t="n"/>
      <c r="G551" s="46" t="n"/>
    </row>
    <row r="552" ht="22.5" customHeight="1" s="23">
      <c r="A552" s="46" t="n"/>
      <c r="B552" s="46" t="n"/>
      <c r="C552" s="47" t="n"/>
      <c r="D552" s="46" t="n"/>
      <c r="E552" s="46" t="n"/>
      <c r="F552" s="46" t="n"/>
      <c r="G552" s="46" t="n"/>
    </row>
    <row r="553" ht="22.5" customHeight="1" s="23">
      <c r="A553" s="46" t="n"/>
      <c r="B553" s="46" t="n"/>
      <c r="C553" s="47" t="n"/>
      <c r="D553" s="46" t="n"/>
      <c r="E553" s="46" t="n"/>
      <c r="F553" s="46" t="n"/>
      <c r="G553" s="46" t="n"/>
    </row>
    <row r="554" ht="22.5" customHeight="1" s="23">
      <c r="A554" s="46" t="n"/>
      <c r="B554" s="46" t="n"/>
      <c r="C554" s="47" t="n"/>
      <c r="D554" s="46" t="n"/>
      <c r="E554" s="46" t="n"/>
      <c r="F554" s="46" t="n"/>
      <c r="G554" s="46" t="n"/>
    </row>
    <row r="555" ht="22.5" customHeight="1" s="23">
      <c r="A555" s="46" t="n"/>
      <c r="B555" s="46" t="n"/>
      <c r="C555" s="47" t="n"/>
      <c r="D555" s="46" t="n"/>
      <c r="E555" s="46" t="n"/>
      <c r="F555" s="46" t="n"/>
      <c r="G555" s="46" t="n"/>
    </row>
    <row r="556" ht="22.5" customHeight="1" s="23">
      <c r="A556" s="46" t="n"/>
      <c r="B556" s="46" t="n"/>
      <c r="C556" s="47" t="n"/>
      <c r="D556" s="46" t="n"/>
      <c r="E556" s="46" t="n"/>
      <c r="F556" s="46" t="n"/>
      <c r="G556" s="46" t="n"/>
    </row>
    <row r="557" ht="22.5" customHeight="1" s="23">
      <c r="A557" s="46" t="n"/>
      <c r="B557" s="46" t="n"/>
      <c r="C557" s="47" t="n"/>
      <c r="D557" s="46" t="n"/>
      <c r="E557" s="46" t="n"/>
      <c r="F557" s="46" t="n"/>
      <c r="G557" s="46" t="n"/>
    </row>
    <row r="558" ht="22.5" customHeight="1" s="23">
      <c r="A558" s="46" t="n"/>
      <c r="B558" s="46" t="n"/>
      <c r="C558" s="47" t="n"/>
      <c r="D558" s="46" t="n"/>
      <c r="E558" s="46" t="n"/>
      <c r="F558" s="46" t="n"/>
      <c r="G558" s="46" t="n"/>
    </row>
    <row r="559" ht="22.5" customHeight="1" s="23">
      <c r="A559" s="46" t="n"/>
      <c r="B559" s="46" t="n"/>
      <c r="C559" s="47" t="n"/>
      <c r="D559" s="46" t="n"/>
      <c r="E559" s="46" t="n"/>
      <c r="F559" s="46" t="n"/>
      <c r="G559" s="46" t="n"/>
    </row>
    <row r="560" ht="22.5" customHeight="1" s="23">
      <c r="A560" s="46" t="n"/>
      <c r="B560" s="46" t="n"/>
      <c r="C560" s="47" t="n"/>
      <c r="D560" s="46" t="n"/>
      <c r="E560" s="46" t="n"/>
      <c r="F560" s="46" t="n"/>
      <c r="G560" s="46" t="n"/>
    </row>
    <row r="561" ht="22.5" customHeight="1" s="23">
      <c r="A561" s="46" t="n"/>
      <c r="B561" s="46" t="n"/>
      <c r="C561" s="47" t="n"/>
      <c r="D561" s="46" t="n"/>
      <c r="E561" s="46" t="n"/>
      <c r="F561" s="46" t="n"/>
      <c r="G561" s="46" t="n"/>
    </row>
    <row r="562" ht="22.5" customHeight="1" s="23">
      <c r="A562" s="46" t="n"/>
      <c r="B562" s="46" t="n"/>
      <c r="C562" s="47" t="n"/>
      <c r="D562" s="46" t="n"/>
      <c r="E562" s="46" t="n"/>
      <c r="F562" s="46" t="n"/>
      <c r="G562" s="46" t="n"/>
    </row>
    <row r="563" ht="22.5" customHeight="1" s="23">
      <c r="A563" s="46" t="n"/>
      <c r="B563" s="46" t="n"/>
      <c r="C563" s="47" t="n"/>
      <c r="D563" s="46" t="n"/>
      <c r="E563" s="46" t="n"/>
      <c r="F563" s="46" t="n"/>
      <c r="G563" s="46" t="n"/>
    </row>
    <row r="564" ht="22.5" customHeight="1" s="23">
      <c r="A564" s="46" t="n"/>
      <c r="B564" s="46" t="n"/>
      <c r="C564" s="47" t="n"/>
      <c r="D564" s="46" t="n"/>
      <c r="E564" s="46" t="n"/>
      <c r="F564" s="46" t="n"/>
      <c r="G564" s="46" t="n"/>
    </row>
    <row r="565" ht="22.5" customHeight="1" s="23">
      <c r="A565" s="46" t="n"/>
      <c r="B565" s="46" t="n"/>
      <c r="C565" s="47" t="n"/>
      <c r="D565" s="46" t="n"/>
      <c r="E565" s="46" t="n"/>
      <c r="F565" s="46" t="n"/>
      <c r="G565" s="46" t="n"/>
    </row>
    <row r="566" ht="22.5" customHeight="1" s="23">
      <c r="A566" s="46" t="n"/>
      <c r="B566" s="46" t="n"/>
      <c r="C566" s="47" t="n"/>
      <c r="D566" s="46" t="n"/>
      <c r="E566" s="46" t="n"/>
      <c r="F566" s="46" t="n"/>
      <c r="G566" s="46" t="n"/>
    </row>
    <row r="567" ht="22.5" customHeight="1" s="23">
      <c r="A567" s="46" t="n"/>
      <c r="B567" s="46" t="n"/>
      <c r="C567" s="47" t="n"/>
      <c r="D567" s="46" t="n"/>
      <c r="E567" s="46" t="n"/>
      <c r="F567" s="46" t="n"/>
      <c r="G567" s="46" t="n"/>
    </row>
    <row r="568" ht="22.5" customHeight="1" s="23">
      <c r="A568" s="46" t="n"/>
      <c r="B568" s="46" t="n"/>
      <c r="C568" s="47" t="n"/>
      <c r="D568" s="46" t="n"/>
      <c r="E568" s="46" t="n"/>
      <c r="F568" s="46" t="n"/>
      <c r="G568" s="46" t="n"/>
    </row>
    <row r="569" ht="22.5" customHeight="1" s="23">
      <c r="A569" s="46" t="n"/>
      <c r="B569" s="46" t="n"/>
      <c r="C569" s="47" t="n"/>
      <c r="D569" s="46" t="n"/>
      <c r="E569" s="46" t="n"/>
      <c r="F569" s="46" t="n"/>
      <c r="G569" s="46" t="n"/>
    </row>
    <row r="570" ht="22.5" customHeight="1" s="23">
      <c r="A570" s="46" t="n"/>
      <c r="B570" s="46" t="n"/>
      <c r="C570" s="47" t="n"/>
      <c r="D570" s="46" t="n"/>
      <c r="E570" s="46" t="n"/>
      <c r="F570" s="46" t="n"/>
      <c r="G570" s="46" t="n"/>
    </row>
    <row r="571" ht="22.5" customHeight="1" s="23">
      <c r="A571" s="46" t="n"/>
      <c r="B571" s="46" t="n"/>
      <c r="C571" s="47" t="n"/>
      <c r="D571" s="46" t="n"/>
      <c r="E571" s="46" t="n"/>
      <c r="F571" s="46" t="n"/>
      <c r="G571" s="46" t="n"/>
    </row>
    <row r="572" ht="22.5" customHeight="1" s="23">
      <c r="A572" s="46" t="n"/>
      <c r="B572" s="46" t="n"/>
      <c r="C572" s="47" t="n"/>
      <c r="D572" s="46" t="n"/>
      <c r="E572" s="46" t="n"/>
      <c r="F572" s="46" t="n"/>
      <c r="G572" s="46" t="n"/>
    </row>
    <row r="573" ht="22.5" customHeight="1" s="23">
      <c r="A573" s="46" t="n"/>
      <c r="B573" s="46" t="n"/>
      <c r="C573" s="47" t="n"/>
      <c r="D573" s="46" t="n"/>
      <c r="E573" s="46" t="n"/>
      <c r="F573" s="46" t="n"/>
      <c r="G573" s="46" t="n"/>
    </row>
    <row r="574" ht="22.5" customHeight="1" s="23">
      <c r="A574" s="46" t="n"/>
      <c r="B574" s="46" t="n"/>
      <c r="C574" s="47" t="n"/>
      <c r="D574" s="46" t="n"/>
      <c r="E574" s="46" t="n"/>
      <c r="F574" s="46" t="n"/>
      <c r="G574" s="46" t="n"/>
    </row>
    <row r="575" ht="22.5" customHeight="1" s="23">
      <c r="A575" s="46" t="n"/>
      <c r="B575" s="46" t="n"/>
      <c r="C575" s="47" t="n"/>
      <c r="D575" s="46" t="n"/>
      <c r="E575" s="46" t="n"/>
      <c r="F575" s="46" t="n"/>
      <c r="G575" s="46" t="n"/>
    </row>
    <row r="576" ht="22.5" customHeight="1" s="23">
      <c r="A576" s="46" t="n"/>
      <c r="B576" s="46" t="n"/>
      <c r="C576" s="47" t="n"/>
      <c r="D576" s="46" t="n"/>
      <c r="E576" s="46" t="n"/>
      <c r="F576" s="46" t="n"/>
      <c r="G576" s="46" t="n"/>
    </row>
    <row r="577" ht="22.5" customHeight="1" s="23">
      <c r="A577" s="46" t="n"/>
      <c r="B577" s="46" t="n"/>
      <c r="C577" s="47" t="n"/>
      <c r="D577" s="46" t="n"/>
      <c r="E577" s="46" t="n"/>
      <c r="F577" s="46" t="n"/>
      <c r="G577" s="46" t="n"/>
    </row>
    <row r="578" ht="22.5" customHeight="1" s="23">
      <c r="A578" s="46" t="n"/>
      <c r="B578" s="46" t="n"/>
      <c r="C578" s="47" t="n"/>
      <c r="D578" s="46" t="n"/>
      <c r="E578" s="46" t="n"/>
      <c r="F578" s="46" t="n"/>
      <c r="G578" s="46" t="n"/>
    </row>
    <row r="579" ht="22.5" customHeight="1" s="23">
      <c r="A579" s="46" t="n"/>
      <c r="B579" s="46" t="n"/>
      <c r="C579" s="47" t="n"/>
      <c r="D579" s="46" t="n"/>
      <c r="E579" s="46" t="n"/>
      <c r="F579" s="46" t="n"/>
      <c r="G579" s="46" t="n"/>
    </row>
    <row r="580" ht="22.5" customHeight="1" s="23">
      <c r="A580" s="46" t="n"/>
      <c r="B580" s="46" t="n"/>
      <c r="C580" s="47" t="n"/>
      <c r="D580" s="46" t="n"/>
      <c r="E580" s="46" t="n"/>
      <c r="F580" s="46" t="n"/>
      <c r="G580" s="46" t="n"/>
    </row>
    <row r="581" ht="22.5" customHeight="1" s="23">
      <c r="A581" s="46" t="n"/>
      <c r="B581" s="46" t="n"/>
      <c r="C581" s="47" t="n"/>
      <c r="D581" s="46" t="n"/>
      <c r="E581" s="46" t="n"/>
      <c r="F581" s="46" t="n"/>
      <c r="G581" s="46" t="n"/>
    </row>
    <row r="582" ht="22.5" customHeight="1" s="23">
      <c r="A582" s="46" t="n"/>
      <c r="B582" s="46" t="n"/>
      <c r="C582" s="47" t="n"/>
      <c r="D582" s="46" t="n"/>
      <c r="E582" s="46" t="n"/>
      <c r="F582" s="46" t="n"/>
      <c r="G582" s="46" t="n"/>
    </row>
    <row r="583" ht="22.5" customHeight="1" s="23">
      <c r="A583" s="46" t="n"/>
      <c r="B583" s="46" t="n"/>
      <c r="C583" s="47" t="n"/>
      <c r="D583" s="46" t="n"/>
      <c r="E583" s="46" t="n"/>
      <c r="F583" s="46" t="n"/>
      <c r="G583" s="46" t="n"/>
    </row>
    <row r="584" ht="22.5" customHeight="1" s="23">
      <c r="A584" s="46" t="n"/>
      <c r="B584" s="46" t="n"/>
      <c r="C584" s="47" t="n"/>
      <c r="D584" s="46" t="n"/>
      <c r="E584" s="46" t="n"/>
      <c r="F584" s="46" t="n"/>
      <c r="G584" s="46" t="n"/>
    </row>
    <row r="585" ht="22.5" customHeight="1" s="23">
      <c r="A585" s="46" t="n"/>
      <c r="B585" s="46" t="n"/>
      <c r="C585" s="47" t="n"/>
      <c r="D585" s="46" t="n"/>
      <c r="E585" s="46" t="n"/>
      <c r="F585" s="46" t="n"/>
      <c r="G585" s="46" t="n"/>
    </row>
    <row r="586" ht="22.5" customHeight="1" s="23">
      <c r="A586" s="46" t="n"/>
      <c r="B586" s="46" t="n"/>
      <c r="C586" s="47" t="n"/>
      <c r="D586" s="46" t="n"/>
      <c r="E586" s="46" t="n"/>
      <c r="F586" s="46" t="n"/>
      <c r="G586" s="46" t="n"/>
    </row>
    <row r="587" ht="22.5" customHeight="1" s="23">
      <c r="A587" s="46" t="n"/>
      <c r="B587" s="46" t="n"/>
      <c r="C587" s="47" t="n"/>
      <c r="D587" s="46" t="n"/>
      <c r="E587" s="46" t="n"/>
      <c r="F587" s="46" t="n"/>
      <c r="G587" s="46" t="n"/>
    </row>
    <row r="588" ht="22.5" customHeight="1" s="23">
      <c r="A588" s="46" t="n"/>
      <c r="B588" s="46" t="n"/>
      <c r="C588" s="47" t="n"/>
      <c r="D588" s="46" t="n"/>
      <c r="E588" s="46" t="n"/>
      <c r="F588" s="46" t="n"/>
      <c r="G588" s="46" t="n"/>
    </row>
    <row r="589" ht="22.5" customHeight="1" s="23">
      <c r="A589" s="46" t="n"/>
      <c r="B589" s="46" t="n"/>
      <c r="C589" s="47" t="n"/>
      <c r="D589" s="46" t="n"/>
      <c r="E589" s="46" t="n"/>
      <c r="F589" s="46" t="n"/>
      <c r="G589" s="46" t="n"/>
    </row>
    <row r="590" ht="22.5" customHeight="1" s="23">
      <c r="A590" s="46" t="n"/>
      <c r="B590" s="46" t="n"/>
      <c r="C590" s="47" t="n"/>
      <c r="D590" s="46" t="n"/>
      <c r="E590" s="46" t="n"/>
      <c r="F590" s="46" t="n"/>
      <c r="G590" s="46" t="n"/>
    </row>
    <row r="591" ht="22.5" customHeight="1" s="23">
      <c r="A591" s="46" t="n"/>
      <c r="B591" s="46" t="n"/>
      <c r="C591" s="47" t="n"/>
      <c r="D591" s="46" t="n"/>
      <c r="E591" s="46" t="n"/>
      <c r="F591" s="46" t="n"/>
      <c r="G591" s="46" t="n"/>
    </row>
    <row r="592" ht="22.5" customHeight="1" s="23">
      <c r="A592" s="46" t="n"/>
      <c r="B592" s="46" t="n"/>
      <c r="C592" s="47" t="n"/>
      <c r="D592" s="46" t="n"/>
      <c r="E592" s="46" t="n"/>
      <c r="F592" s="46" t="n"/>
      <c r="G592" s="46" t="n"/>
    </row>
    <row r="593" ht="22.5" customHeight="1" s="23">
      <c r="A593" s="46" t="n"/>
      <c r="B593" s="46" t="n"/>
      <c r="C593" s="47" t="n"/>
      <c r="D593" s="46" t="n"/>
      <c r="E593" s="46" t="n"/>
      <c r="F593" s="46" t="n"/>
      <c r="G593" s="46" t="n"/>
    </row>
    <row r="594" ht="22.5" customHeight="1" s="23">
      <c r="A594" s="46" t="n"/>
      <c r="B594" s="46" t="n"/>
      <c r="C594" s="47" t="n"/>
      <c r="D594" s="46" t="n"/>
      <c r="E594" s="46" t="n"/>
      <c r="F594" s="46" t="n"/>
      <c r="G594" s="46" t="n"/>
    </row>
    <row r="595" ht="22.5" customHeight="1" s="23">
      <c r="A595" s="46" t="n"/>
      <c r="B595" s="46" t="n"/>
      <c r="C595" s="47" t="n"/>
      <c r="D595" s="46" t="n"/>
      <c r="E595" s="46" t="n"/>
      <c r="F595" s="46" t="n"/>
      <c r="G595" s="46" t="n"/>
    </row>
    <row r="596" ht="22.5" customHeight="1" s="23">
      <c r="A596" s="46" t="n"/>
      <c r="B596" s="46" t="n"/>
      <c r="C596" s="47" t="n"/>
      <c r="D596" s="46" t="n"/>
      <c r="E596" s="46" t="n"/>
      <c r="F596" s="46" t="n"/>
      <c r="G596" s="46" t="n"/>
    </row>
    <row r="597" ht="22.5" customHeight="1" s="23">
      <c r="A597" s="46" t="n"/>
      <c r="B597" s="46" t="n"/>
      <c r="C597" s="47" t="n"/>
      <c r="D597" s="46" t="n"/>
      <c r="E597" s="46" t="n"/>
      <c r="F597" s="46" t="n"/>
      <c r="G597" s="46" t="n"/>
    </row>
    <row r="598" ht="22.5" customHeight="1" s="23">
      <c r="A598" s="46" t="n"/>
      <c r="B598" s="46" t="n"/>
      <c r="C598" s="47" t="n"/>
      <c r="D598" s="46" t="n"/>
      <c r="E598" s="46" t="n"/>
      <c r="F598" s="46" t="n"/>
      <c r="G598" s="46" t="n"/>
    </row>
    <row r="599" ht="22.5" customHeight="1" s="23">
      <c r="A599" s="46" t="n"/>
      <c r="B599" s="46" t="n"/>
      <c r="C599" s="47" t="n"/>
      <c r="D599" s="46" t="n"/>
      <c r="E599" s="46" t="n"/>
      <c r="F599" s="46" t="n"/>
      <c r="G599" s="46" t="n"/>
    </row>
    <row r="600" ht="22.5" customHeight="1" s="23">
      <c r="A600" s="46" t="n"/>
      <c r="B600" s="46" t="n"/>
      <c r="C600" s="47" t="n"/>
      <c r="D600" s="46" t="n"/>
      <c r="E600" s="46" t="n"/>
      <c r="F600" s="46" t="n"/>
      <c r="G600" s="46" t="n"/>
    </row>
    <row r="601" ht="22.5" customHeight="1" s="23">
      <c r="A601" s="46" t="n"/>
      <c r="B601" s="46" t="n"/>
      <c r="C601" s="47" t="n"/>
      <c r="D601" s="46" t="n"/>
      <c r="E601" s="46" t="n"/>
      <c r="F601" s="46" t="n"/>
      <c r="G601" s="46" t="n"/>
    </row>
    <row r="602" ht="22.5" customHeight="1" s="23">
      <c r="A602" s="46" t="n"/>
      <c r="B602" s="46" t="n"/>
      <c r="C602" s="47" t="n"/>
      <c r="D602" s="46" t="n"/>
      <c r="E602" s="46" t="n"/>
      <c r="F602" s="46" t="n"/>
      <c r="G602" s="46" t="n"/>
    </row>
    <row r="603" ht="22.5" customHeight="1" s="23">
      <c r="A603" s="46" t="n"/>
      <c r="B603" s="46" t="n"/>
      <c r="C603" s="47" t="n"/>
      <c r="D603" s="46" t="n"/>
      <c r="E603" s="46" t="n"/>
      <c r="F603" s="46" t="n"/>
      <c r="G603" s="46" t="n"/>
    </row>
    <row r="604" ht="22.5" customHeight="1" s="23">
      <c r="A604" s="46" t="n"/>
      <c r="B604" s="46" t="n"/>
      <c r="C604" s="47" t="n"/>
      <c r="D604" s="46" t="n"/>
      <c r="E604" s="46" t="n"/>
      <c r="F604" s="46" t="n"/>
      <c r="G604" s="46" t="n"/>
    </row>
    <row r="605" ht="22.5" customHeight="1" s="23">
      <c r="A605" s="46" t="n"/>
      <c r="B605" s="46" t="n"/>
      <c r="C605" s="47" t="n"/>
      <c r="D605" s="46" t="n"/>
      <c r="E605" s="46" t="n"/>
      <c r="F605" s="46" t="n"/>
      <c r="G605" s="46" t="n"/>
    </row>
    <row r="606" ht="22.5" customHeight="1" s="23">
      <c r="A606" s="46" t="n"/>
      <c r="B606" s="46" t="n"/>
      <c r="C606" s="47" t="n"/>
      <c r="D606" s="46" t="n"/>
      <c r="E606" s="46" t="n"/>
      <c r="F606" s="46" t="n"/>
      <c r="G606" s="46" t="n"/>
    </row>
    <row r="607" ht="22.5" customHeight="1" s="23">
      <c r="A607" s="46" t="n"/>
      <c r="B607" s="46" t="n"/>
      <c r="C607" s="47" t="n"/>
      <c r="D607" s="46" t="n"/>
      <c r="E607" s="46" t="n"/>
      <c r="F607" s="46" t="n"/>
      <c r="G607" s="46" t="n"/>
    </row>
    <row r="608" ht="22.5" customHeight="1" s="23">
      <c r="A608" s="46" t="n"/>
      <c r="B608" s="46" t="n"/>
      <c r="C608" s="47" t="n"/>
      <c r="D608" s="46" t="n"/>
      <c r="E608" s="46" t="n"/>
      <c r="F608" s="46" t="n"/>
      <c r="G608" s="46" t="n"/>
    </row>
    <row r="609" ht="22.5" customHeight="1" s="23">
      <c r="A609" s="46" t="n"/>
      <c r="B609" s="46" t="n"/>
      <c r="C609" s="47" t="n"/>
      <c r="D609" s="46" t="n"/>
      <c r="E609" s="46" t="n"/>
      <c r="F609" s="46" t="n"/>
      <c r="G609" s="46" t="n"/>
    </row>
    <row r="610" ht="22.5" customHeight="1" s="23">
      <c r="A610" s="46" t="n"/>
      <c r="B610" s="46" t="n"/>
      <c r="C610" s="47" t="n"/>
      <c r="D610" s="46" t="n"/>
      <c r="E610" s="46" t="n"/>
      <c r="F610" s="46" t="n"/>
      <c r="G610" s="46" t="n"/>
    </row>
    <row r="611" ht="22.5" customHeight="1" s="23">
      <c r="A611" s="46" t="n"/>
      <c r="B611" s="46" t="n"/>
      <c r="C611" s="47" t="n"/>
      <c r="D611" s="46" t="n"/>
      <c r="E611" s="46" t="n"/>
      <c r="F611" s="46" t="n"/>
      <c r="G611" s="46" t="n"/>
    </row>
    <row r="612" ht="22.5" customHeight="1" s="23">
      <c r="A612" s="46" t="n"/>
      <c r="B612" s="46" t="n"/>
      <c r="C612" s="47" t="n"/>
      <c r="D612" s="46" t="n"/>
      <c r="E612" s="46" t="n"/>
      <c r="F612" s="46" t="n"/>
      <c r="G612" s="46" t="n"/>
    </row>
    <row r="613" ht="22.5" customHeight="1" s="23">
      <c r="A613" s="46" t="n"/>
      <c r="B613" s="46" t="n"/>
      <c r="C613" s="47" t="n"/>
      <c r="D613" s="46" t="n"/>
      <c r="E613" s="46" t="n"/>
      <c r="F613" s="46" t="n"/>
      <c r="G613" s="46" t="n"/>
    </row>
    <row r="614" ht="22.5" customHeight="1" s="23">
      <c r="A614" s="46" t="n"/>
      <c r="B614" s="46" t="n"/>
      <c r="C614" s="47" t="n"/>
      <c r="D614" s="46" t="n"/>
      <c r="E614" s="46" t="n"/>
      <c r="F614" s="46" t="n"/>
      <c r="G614" s="46" t="n"/>
    </row>
    <row r="615" ht="22.5" customHeight="1" s="23">
      <c r="A615" s="46" t="n"/>
      <c r="B615" s="46" t="n"/>
      <c r="C615" s="47" t="n"/>
      <c r="D615" s="46" t="n"/>
      <c r="E615" s="46" t="n"/>
      <c r="F615" s="46" t="n"/>
      <c r="G615" s="46" t="n"/>
    </row>
    <row r="616" ht="22.5" customHeight="1" s="23">
      <c r="A616" s="46" t="n"/>
      <c r="B616" s="46" t="n"/>
      <c r="C616" s="47" t="n"/>
      <c r="D616" s="46" t="n"/>
      <c r="E616" s="46" t="n"/>
      <c r="F616" s="46" t="n"/>
      <c r="G616" s="46" t="n"/>
    </row>
    <row r="617" ht="22.5" customHeight="1" s="23">
      <c r="A617" s="46" t="n"/>
      <c r="B617" s="46" t="n"/>
      <c r="C617" s="47" t="n"/>
      <c r="D617" s="46" t="n"/>
      <c r="E617" s="46" t="n"/>
      <c r="F617" s="46" t="n"/>
      <c r="G617" s="46" t="n"/>
    </row>
    <row r="618" ht="22.5" customHeight="1" s="23">
      <c r="A618" s="46" t="n"/>
      <c r="B618" s="46" t="n"/>
      <c r="C618" s="47" t="n"/>
      <c r="D618" s="46" t="n"/>
      <c r="E618" s="46" t="n"/>
      <c r="F618" s="46" t="n"/>
      <c r="G618" s="46" t="n"/>
    </row>
    <row r="619" ht="22.5" customHeight="1" s="23">
      <c r="A619" s="46" t="n"/>
      <c r="B619" s="46" t="n"/>
      <c r="C619" s="47" t="n"/>
      <c r="D619" s="46" t="n"/>
      <c r="E619" s="46" t="n"/>
      <c r="F619" s="46" t="n"/>
      <c r="G619" s="46" t="n"/>
    </row>
    <row r="620" ht="22.5" customHeight="1" s="23">
      <c r="A620" s="46" t="n"/>
      <c r="B620" s="46" t="n"/>
      <c r="C620" s="47" t="n"/>
      <c r="D620" s="46" t="n"/>
      <c r="E620" s="46" t="n"/>
      <c r="F620" s="46" t="n"/>
      <c r="G620" s="46" t="n"/>
    </row>
    <row r="621" ht="22.5" customHeight="1" s="23">
      <c r="A621" s="46" t="n"/>
      <c r="B621" s="46" t="n"/>
      <c r="C621" s="47" t="n"/>
      <c r="D621" s="46" t="n"/>
      <c r="E621" s="46" t="n"/>
      <c r="F621" s="46" t="n"/>
      <c r="G621" s="46" t="n"/>
    </row>
    <row r="622" ht="22.5" customHeight="1" s="23">
      <c r="A622" s="46" t="n"/>
      <c r="B622" s="46" t="n"/>
      <c r="C622" s="47" t="n"/>
      <c r="D622" s="46" t="n"/>
      <c r="E622" s="46" t="n"/>
      <c r="F622" s="46" t="n"/>
      <c r="G622" s="46" t="n"/>
    </row>
    <row r="623" ht="22.5" customHeight="1" s="23">
      <c r="A623" s="46" t="n"/>
      <c r="B623" s="46" t="n"/>
      <c r="C623" s="47" t="n"/>
      <c r="D623" s="46" t="n"/>
      <c r="E623" s="46" t="n"/>
      <c r="F623" s="46" t="n"/>
      <c r="G623" s="46" t="n"/>
    </row>
    <row r="624" ht="22.5" customHeight="1" s="23">
      <c r="A624" s="46" t="n"/>
      <c r="B624" s="46" t="n"/>
      <c r="C624" s="47" t="n"/>
      <c r="D624" s="46" t="n"/>
      <c r="E624" s="46" t="n"/>
      <c r="F624" s="46" t="n"/>
      <c r="G624" s="46" t="n"/>
    </row>
    <row r="625" ht="22.5" customHeight="1" s="23">
      <c r="A625" s="46" t="n"/>
      <c r="B625" s="46" t="n"/>
      <c r="C625" s="47" t="n"/>
      <c r="D625" s="46" t="n"/>
      <c r="E625" s="46" t="n"/>
      <c r="F625" s="46" t="n"/>
      <c r="G625" s="46" t="n"/>
    </row>
    <row r="626" ht="22.5" customHeight="1" s="23">
      <c r="A626" s="46" t="n"/>
      <c r="B626" s="46" t="n"/>
      <c r="C626" s="47" t="n"/>
      <c r="D626" s="46" t="n"/>
      <c r="E626" s="46" t="n"/>
      <c r="F626" s="46" t="n"/>
      <c r="G626" s="46" t="n"/>
    </row>
    <row r="627" ht="22.5" customHeight="1" s="23">
      <c r="A627" s="46" t="n"/>
      <c r="B627" s="46" t="n"/>
      <c r="C627" s="47" t="n"/>
      <c r="D627" s="46" t="n"/>
      <c r="E627" s="46" t="n"/>
      <c r="F627" s="46" t="n"/>
      <c r="G627" s="46" t="n"/>
    </row>
    <row r="628" ht="22.5" customHeight="1" s="23">
      <c r="A628" s="46" t="n"/>
      <c r="B628" s="46" t="n"/>
      <c r="C628" s="47" t="n"/>
      <c r="D628" s="46" t="n"/>
      <c r="E628" s="46" t="n"/>
      <c r="F628" s="46" t="n"/>
      <c r="G628" s="46" t="n"/>
    </row>
    <row r="629" ht="22.5" customHeight="1" s="23">
      <c r="A629" s="46" t="n"/>
      <c r="B629" s="46" t="n"/>
      <c r="C629" s="47" t="n"/>
      <c r="D629" s="46" t="n"/>
      <c r="E629" s="46" t="n"/>
      <c r="F629" s="46" t="n"/>
      <c r="G629" s="46" t="n"/>
    </row>
    <row r="630" ht="22.5" customHeight="1" s="23">
      <c r="A630" s="46" t="n"/>
      <c r="B630" s="46" t="n"/>
      <c r="C630" s="47" t="n"/>
      <c r="D630" s="46" t="n"/>
      <c r="E630" s="46" t="n"/>
      <c r="F630" s="46" t="n"/>
      <c r="G630" s="46" t="n"/>
    </row>
    <row r="631" ht="22.5" customHeight="1" s="23">
      <c r="A631" s="46" t="n"/>
      <c r="B631" s="46" t="n"/>
      <c r="C631" s="47" t="n"/>
      <c r="D631" s="46" t="n"/>
      <c r="E631" s="46" t="n"/>
      <c r="F631" s="46" t="n"/>
      <c r="G631" s="46" t="n"/>
    </row>
    <row r="632" ht="22.5" customHeight="1" s="23">
      <c r="A632" s="46" t="n"/>
      <c r="B632" s="46" t="n"/>
      <c r="C632" s="47" t="n"/>
      <c r="D632" s="46" t="n"/>
      <c r="E632" s="46" t="n"/>
      <c r="F632" s="46" t="n"/>
      <c r="G632" s="46" t="n"/>
    </row>
    <row r="633" ht="22.5" customHeight="1" s="23">
      <c r="A633" s="46" t="n"/>
      <c r="B633" s="46" t="n"/>
      <c r="C633" s="47" t="n"/>
      <c r="D633" s="46" t="n"/>
      <c r="E633" s="46" t="n"/>
      <c r="F633" s="46" t="n"/>
      <c r="G633" s="46" t="n"/>
    </row>
    <row r="634" ht="22.5" customHeight="1" s="23">
      <c r="A634" s="46" t="n"/>
      <c r="B634" s="46" t="n"/>
      <c r="C634" s="47" t="n"/>
      <c r="D634" s="46" t="n"/>
      <c r="E634" s="46" t="n"/>
      <c r="F634" s="46" t="n"/>
      <c r="G634" s="46" t="n"/>
    </row>
    <row r="635" ht="22.5" customHeight="1" s="23">
      <c r="A635" s="46" t="n"/>
      <c r="B635" s="46" t="n"/>
      <c r="C635" s="47" t="n"/>
      <c r="D635" s="46" t="n"/>
      <c r="E635" s="46" t="n"/>
      <c r="F635" s="46" t="n"/>
      <c r="G635" s="46" t="n"/>
    </row>
    <row r="636" ht="22.5" customHeight="1" s="23">
      <c r="A636" s="46" t="n"/>
      <c r="B636" s="46" t="n"/>
      <c r="C636" s="47" t="n"/>
      <c r="D636" s="46" t="n"/>
      <c r="E636" s="46" t="n"/>
      <c r="F636" s="46" t="n"/>
      <c r="G636" s="46" t="n"/>
    </row>
    <row r="637" ht="22.5" customHeight="1" s="23">
      <c r="A637" s="46" t="n"/>
      <c r="B637" s="46" t="n"/>
      <c r="C637" s="47" t="n"/>
      <c r="D637" s="46" t="n"/>
      <c r="E637" s="46" t="n"/>
      <c r="F637" s="46" t="n"/>
      <c r="G637" s="46" t="n"/>
    </row>
    <row r="638" ht="22.5" customHeight="1" s="23">
      <c r="A638" s="46" t="n"/>
      <c r="B638" s="46" t="n"/>
      <c r="C638" s="47" t="n"/>
      <c r="D638" s="46" t="n"/>
      <c r="E638" s="46" t="n"/>
      <c r="F638" s="46" t="n"/>
      <c r="G638" s="46" t="n"/>
    </row>
    <row r="639" ht="22.5" customHeight="1" s="23">
      <c r="A639" s="46" t="n"/>
      <c r="B639" s="46" t="n"/>
      <c r="C639" s="47" t="n"/>
      <c r="D639" s="46" t="n"/>
      <c r="E639" s="46" t="n"/>
      <c r="F639" s="46" t="n"/>
      <c r="G639" s="46" t="n"/>
    </row>
    <row r="640" ht="22.5" customHeight="1" s="23">
      <c r="A640" s="46" t="n"/>
      <c r="B640" s="46" t="n"/>
      <c r="C640" s="47" t="n"/>
      <c r="D640" s="46" t="n"/>
      <c r="E640" s="46" t="n"/>
      <c r="F640" s="46" t="n"/>
      <c r="G640" s="46" t="n"/>
    </row>
    <row r="641" ht="22.5" customHeight="1" s="23">
      <c r="A641" s="46" t="n"/>
      <c r="B641" s="46" t="n"/>
      <c r="C641" s="47" t="n"/>
      <c r="D641" s="46" t="n"/>
      <c r="E641" s="46" t="n"/>
      <c r="F641" s="46" t="n"/>
      <c r="G641" s="46" t="n"/>
    </row>
    <row r="642" ht="22.5" customHeight="1" s="23">
      <c r="A642" s="46" t="n"/>
      <c r="B642" s="46" t="n"/>
      <c r="C642" s="47" t="n"/>
      <c r="D642" s="46" t="n"/>
      <c r="E642" s="46" t="n"/>
      <c r="F642" s="46" t="n"/>
      <c r="G642" s="46" t="n"/>
    </row>
    <row r="643" ht="22.5" customHeight="1" s="23">
      <c r="A643" s="46" t="n"/>
      <c r="B643" s="46" t="n"/>
      <c r="C643" s="47" t="n"/>
      <c r="D643" s="46" t="n"/>
      <c r="E643" s="46" t="n"/>
      <c r="F643" s="46" t="n"/>
      <c r="G643" s="46" t="n"/>
    </row>
    <row r="644" ht="22.5" customHeight="1" s="23">
      <c r="A644" s="46" t="n"/>
      <c r="B644" s="46" t="n"/>
      <c r="C644" s="47" t="n"/>
      <c r="D644" s="46" t="n"/>
      <c r="E644" s="46" t="n"/>
      <c r="F644" s="46" t="n"/>
      <c r="G644" s="46" t="n"/>
    </row>
    <row r="645" ht="22.5" customHeight="1" s="23">
      <c r="A645" s="46" t="n"/>
      <c r="B645" s="46" t="n"/>
      <c r="C645" s="47" t="n"/>
      <c r="D645" s="46" t="n"/>
      <c r="E645" s="46" t="n"/>
      <c r="F645" s="46" t="n"/>
      <c r="G645" s="46" t="n"/>
    </row>
    <row r="646" ht="22.5" customHeight="1" s="23">
      <c r="A646" s="46" t="n"/>
      <c r="B646" s="46" t="n"/>
      <c r="C646" s="47" t="n"/>
      <c r="D646" s="46" t="n"/>
      <c r="E646" s="46" t="n"/>
      <c r="F646" s="46" t="n"/>
      <c r="G646" s="46" t="n"/>
    </row>
    <row r="647" ht="22.5" customHeight="1" s="23">
      <c r="A647" s="46" t="n"/>
      <c r="B647" s="46" t="n"/>
      <c r="C647" s="47" t="n"/>
      <c r="D647" s="46" t="n"/>
      <c r="E647" s="46" t="n"/>
      <c r="F647" s="46" t="n"/>
      <c r="G647" s="46" t="n"/>
    </row>
    <row r="648" ht="22.5" customHeight="1" s="23">
      <c r="A648" s="46" t="n"/>
      <c r="B648" s="46" t="n"/>
      <c r="C648" s="47" t="n"/>
      <c r="D648" s="46" t="n"/>
      <c r="E648" s="46" t="n"/>
      <c r="F648" s="46" t="n"/>
      <c r="G648" s="46" t="n"/>
    </row>
    <row r="649" ht="22.5" customHeight="1" s="23">
      <c r="A649" s="46" t="n"/>
      <c r="B649" s="46" t="n"/>
      <c r="C649" s="47" t="n"/>
      <c r="D649" s="46" t="n"/>
      <c r="E649" s="46" t="n"/>
      <c r="F649" s="46" t="n"/>
      <c r="G649" s="46" t="n"/>
    </row>
    <row r="650" ht="22.5" customHeight="1" s="23">
      <c r="A650" s="46" t="n"/>
      <c r="B650" s="46" t="n"/>
      <c r="C650" s="47" t="n"/>
      <c r="D650" s="46" t="n"/>
      <c r="E650" s="46" t="n"/>
      <c r="F650" s="46" t="n"/>
      <c r="G650" s="46" t="n"/>
    </row>
    <row r="651" ht="22.5" customHeight="1" s="23">
      <c r="A651" s="46" t="n"/>
      <c r="B651" s="46" t="n"/>
      <c r="C651" s="47" t="n"/>
      <c r="D651" s="46" t="n"/>
      <c r="E651" s="46" t="n"/>
      <c r="F651" s="46" t="n"/>
      <c r="G651" s="46" t="n"/>
    </row>
    <row r="652" ht="22.5" customHeight="1" s="23">
      <c r="A652" s="46" t="n"/>
      <c r="B652" s="46" t="n"/>
      <c r="C652" s="47" t="n"/>
      <c r="D652" s="46" t="n"/>
      <c r="E652" s="46" t="n"/>
      <c r="F652" s="46" t="n"/>
      <c r="G652" s="46" t="n"/>
    </row>
    <row r="653" ht="22.5" customHeight="1" s="23">
      <c r="A653" s="46" t="n"/>
      <c r="B653" s="46" t="n"/>
      <c r="C653" s="47" t="n"/>
      <c r="D653" s="46" t="n"/>
      <c r="E653" s="46" t="n"/>
      <c r="F653" s="46" t="n"/>
      <c r="G653" s="46" t="n"/>
    </row>
    <row r="654" ht="22.5" customHeight="1" s="23">
      <c r="A654" s="46" t="n"/>
      <c r="B654" s="46" t="n"/>
      <c r="C654" s="47" t="n"/>
      <c r="D654" s="46" t="n"/>
      <c r="E654" s="46" t="n"/>
      <c r="F654" s="46" t="n"/>
      <c r="G654" s="46" t="n"/>
    </row>
    <row r="655" ht="22.5" customHeight="1" s="23">
      <c r="A655" s="46" t="n"/>
      <c r="B655" s="46" t="n"/>
      <c r="C655" s="47" t="n"/>
      <c r="D655" s="46" t="n"/>
      <c r="E655" s="46" t="n"/>
      <c r="F655" s="46" t="n"/>
      <c r="G655" s="46" t="n"/>
    </row>
    <row r="656" ht="22.5" customHeight="1" s="23">
      <c r="A656" s="46" t="n"/>
      <c r="B656" s="46" t="n"/>
      <c r="C656" s="47" t="n"/>
      <c r="D656" s="46" t="n"/>
      <c r="E656" s="46" t="n"/>
      <c r="F656" s="46" t="n"/>
      <c r="G656" s="46" t="n"/>
    </row>
    <row r="657" ht="22.5" customHeight="1" s="23">
      <c r="A657" s="46" t="n"/>
      <c r="B657" s="46" t="n"/>
      <c r="C657" s="47" t="n"/>
      <c r="D657" s="46" t="n"/>
      <c r="E657" s="46" t="n"/>
      <c r="F657" s="46" t="n"/>
      <c r="G657" s="46" t="n"/>
    </row>
    <row r="658" ht="22.5" customHeight="1" s="23">
      <c r="A658" s="46" t="n"/>
      <c r="B658" s="46" t="n"/>
      <c r="C658" s="47" t="n"/>
      <c r="D658" s="46" t="n"/>
      <c r="E658" s="46" t="n"/>
      <c r="F658" s="46" t="n"/>
      <c r="G658" s="46" t="n"/>
    </row>
    <row r="659" ht="22.5" customHeight="1" s="23">
      <c r="A659" s="46" t="n"/>
      <c r="B659" s="46" t="n"/>
      <c r="C659" s="47" t="n"/>
      <c r="D659" s="46" t="n"/>
      <c r="E659" s="46" t="n"/>
      <c r="F659" s="46" t="n"/>
      <c r="G659" s="46" t="n"/>
    </row>
    <row r="660" ht="22.5" customHeight="1" s="23">
      <c r="A660" s="46" t="n"/>
      <c r="B660" s="46" t="n"/>
      <c r="C660" s="47" t="n"/>
      <c r="D660" s="46" t="n"/>
      <c r="E660" s="46" t="n"/>
      <c r="F660" s="46" t="n"/>
      <c r="G660" s="46" t="n"/>
    </row>
    <row r="661" ht="22.5" customHeight="1" s="23">
      <c r="A661" s="46" t="n"/>
      <c r="B661" s="46" t="n"/>
      <c r="C661" s="47" t="n"/>
      <c r="D661" s="46" t="n"/>
      <c r="E661" s="46" t="n"/>
      <c r="F661" s="46" t="n"/>
      <c r="G661" s="46" t="n"/>
    </row>
    <row r="662" ht="22.5" customHeight="1" s="23">
      <c r="A662" s="46" t="n"/>
      <c r="B662" s="46" t="n"/>
      <c r="C662" s="47" t="n"/>
      <c r="D662" s="46" t="n"/>
      <c r="E662" s="46" t="n"/>
      <c r="F662" s="46" t="n"/>
      <c r="G662" s="46" t="n"/>
    </row>
    <row r="663" ht="22.5" customHeight="1" s="23">
      <c r="A663" s="46" t="n"/>
      <c r="B663" s="46" t="n"/>
      <c r="C663" s="47" t="n"/>
      <c r="D663" s="46" t="n"/>
      <c r="E663" s="46" t="n"/>
      <c r="F663" s="46" t="n"/>
      <c r="G663" s="46" t="n"/>
    </row>
    <row r="664" ht="22.5" customHeight="1" s="23">
      <c r="A664" s="46" t="n"/>
      <c r="B664" s="46" t="n"/>
      <c r="C664" s="47" t="n"/>
      <c r="D664" s="46" t="n"/>
      <c r="E664" s="46" t="n"/>
      <c r="F664" s="46" t="n"/>
      <c r="G664" s="46" t="n"/>
    </row>
    <row r="665" ht="22.5" customHeight="1" s="23">
      <c r="A665" s="46" t="n"/>
      <c r="B665" s="46" t="n"/>
      <c r="C665" s="47" t="n"/>
      <c r="D665" s="46" t="n"/>
      <c r="E665" s="46" t="n"/>
      <c r="F665" s="46" t="n"/>
      <c r="G665" s="46" t="n"/>
    </row>
    <row r="666" ht="22.5" customHeight="1" s="23">
      <c r="A666" s="46" t="n"/>
      <c r="B666" s="46" t="n"/>
      <c r="C666" s="47" t="n"/>
      <c r="D666" s="46" t="n"/>
      <c r="E666" s="46" t="n"/>
      <c r="F666" s="46" t="n"/>
      <c r="G666" s="46" t="n"/>
    </row>
    <row r="667" ht="22.5" customHeight="1" s="23">
      <c r="A667" s="46" t="n"/>
      <c r="B667" s="46" t="n"/>
      <c r="C667" s="47" t="n"/>
      <c r="D667" s="46" t="n"/>
      <c r="E667" s="46" t="n"/>
      <c r="F667" s="46" t="n"/>
      <c r="G667" s="46" t="n"/>
    </row>
    <row r="668" ht="22.5" customHeight="1" s="23">
      <c r="A668" s="46" t="n"/>
      <c r="B668" s="46" t="n"/>
      <c r="C668" s="47" t="n"/>
      <c r="D668" s="46" t="n"/>
      <c r="E668" s="46" t="n"/>
      <c r="F668" s="46" t="n"/>
      <c r="G668" s="46" t="n"/>
    </row>
    <row r="669" ht="22.5" customHeight="1" s="23">
      <c r="A669" s="46" t="n"/>
      <c r="B669" s="46" t="n"/>
      <c r="C669" s="47" t="n"/>
      <c r="D669" s="46" t="n"/>
      <c r="E669" s="46" t="n"/>
      <c r="F669" s="46" t="n"/>
      <c r="G669" s="46" t="n"/>
    </row>
    <row r="670" ht="22.5" customHeight="1" s="23">
      <c r="A670" s="46" t="n"/>
      <c r="B670" s="46" t="n"/>
      <c r="C670" s="47" t="n"/>
      <c r="D670" s="46" t="n"/>
      <c r="E670" s="46" t="n"/>
      <c r="F670" s="46" t="n"/>
      <c r="G670" s="46" t="n"/>
    </row>
    <row r="671" ht="22.5" customHeight="1" s="23">
      <c r="A671" s="46" t="n"/>
      <c r="B671" s="46" t="n"/>
      <c r="C671" s="47" t="n"/>
      <c r="D671" s="46" t="n"/>
      <c r="E671" s="46" t="n"/>
      <c r="F671" s="46" t="n"/>
      <c r="G671" s="46" t="n"/>
    </row>
    <row r="672" ht="22.5" customHeight="1" s="23">
      <c r="A672" s="46" t="n"/>
      <c r="B672" s="46" t="n"/>
      <c r="C672" s="47" t="n"/>
      <c r="D672" s="46" t="n"/>
      <c r="E672" s="46" t="n"/>
      <c r="F672" s="46" t="n"/>
      <c r="G672" s="46" t="n"/>
    </row>
    <row r="673" ht="22.5" customHeight="1" s="23">
      <c r="A673" s="46" t="n"/>
      <c r="B673" s="46" t="n"/>
      <c r="C673" s="47" t="n"/>
      <c r="D673" s="46" t="n"/>
      <c r="E673" s="46" t="n"/>
      <c r="F673" s="46" t="n"/>
      <c r="G673" s="46" t="n"/>
    </row>
    <row r="674" ht="22.5" customHeight="1" s="23">
      <c r="A674" s="46" t="n"/>
      <c r="B674" s="46" t="n"/>
      <c r="C674" s="47" t="n"/>
      <c r="D674" s="46" t="n"/>
      <c r="E674" s="46" t="n"/>
      <c r="F674" s="46" t="n"/>
      <c r="G674" s="46" t="n"/>
    </row>
    <row r="675" ht="22.5" customHeight="1" s="23">
      <c r="A675" s="46" t="n"/>
      <c r="B675" s="46" t="n"/>
      <c r="C675" s="47" t="n"/>
      <c r="D675" s="46" t="n"/>
      <c r="E675" s="46" t="n"/>
      <c r="F675" s="46" t="n"/>
      <c r="G675" s="46" t="n"/>
    </row>
    <row r="676" ht="22.5" customHeight="1" s="23">
      <c r="A676" s="46" t="n"/>
      <c r="B676" s="46" t="n"/>
      <c r="C676" s="47" t="n"/>
      <c r="D676" s="46" t="n"/>
      <c r="E676" s="46" t="n"/>
      <c r="F676" s="46" t="n"/>
      <c r="G676" s="46" t="n"/>
    </row>
    <row r="677" ht="22.5" customHeight="1" s="23">
      <c r="A677" s="46" t="n"/>
      <c r="B677" s="46" t="n"/>
      <c r="C677" s="47" t="n"/>
      <c r="D677" s="46" t="n"/>
      <c r="E677" s="46" t="n"/>
      <c r="F677" s="46" t="n"/>
      <c r="G677" s="46" t="n"/>
    </row>
    <row r="678" ht="22.5" customHeight="1" s="23">
      <c r="A678" s="46" t="n"/>
      <c r="B678" s="46" t="n"/>
      <c r="C678" s="47" t="n"/>
      <c r="D678" s="46" t="n"/>
      <c r="E678" s="46" t="n"/>
      <c r="F678" s="46" t="n"/>
      <c r="G678" s="46" t="n"/>
    </row>
    <row r="679" ht="22.5" customHeight="1" s="23">
      <c r="A679" s="46" t="n"/>
      <c r="B679" s="46" t="n"/>
      <c r="C679" s="47" t="n"/>
      <c r="D679" s="46" t="n"/>
      <c r="E679" s="46" t="n"/>
      <c r="F679" s="46" t="n"/>
      <c r="G679" s="46" t="n"/>
    </row>
    <row r="680" ht="22.5" customHeight="1" s="23">
      <c r="A680" s="46" t="n"/>
      <c r="B680" s="46" t="n"/>
      <c r="C680" s="47" t="n"/>
      <c r="D680" s="46" t="n"/>
      <c r="E680" s="46" t="n"/>
      <c r="F680" s="46" t="n"/>
      <c r="G680" s="46" t="n"/>
    </row>
    <row r="681" ht="22.5" customHeight="1" s="23">
      <c r="A681" s="46" t="n"/>
      <c r="B681" s="46" t="n"/>
      <c r="C681" s="47" t="n"/>
      <c r="D681" s="46" t="n"/>
      <c r="E681" s="46" t="n"/>
      <c r="F681" s="46" t="n"/>
      <c r="G681" s="46" t="n"/>
    </row>
    <row r="682" ht="22.5" customHeight="1" s="23">
      <c r="A682" s="46" t="n"/>
      <c r="B682" s="46" t="n"/>
      <c r="C682" s="47" t="n"/>
      <c r="D682" s="46" t="n"/>
      <c r="E682" s="46" t="n"/>
      <c r="F682" s="46" t="n"/>
      <c r="G682" s="46" t="n"/>
    </row>
    <row r="683" ht="22.5" customHeight="1" s="23">
      <c r="A683" s="46" t="n"/>
      <c r="B683" s="46" t="n"/>
      <c r="C683" s="47" t="n"/>
      <c r="D683" s="46" t="n"/>
      <c r="E683" s="46" t="n"/>
      <c r="F683" s="46" t="n"/>
      <c r="G683" s="46" t="n"/>
    </row>
    <row r="684" ht="22.5" customHeight="1" s="23">
      <c r="A684" s="46" t="n"/>
      <c r="B684" s="46" t="n"/>
      <c r="C684" s="47" t="n"/>
      <c r="D684" s="46" t="n"/>
      <c r="E684" s="46" t="n"/>
      <c r="F684" s="46" t="n"/>
      <c r="G684" s="46" t="n"/>
    </row>
    <row r="685" ht="22.5" customHeight="1" s="23">
      <c r="A685" s="46" t="n"/>
      <c r="B685" s="46" t="n"/>
      <c r="C685" s="47" t="n"/>
      <c r="D685" s="46" t="n"/>
      <c r="E685" s="46" t="n"/>
      <c r="F685" s="46" t="n"/>
      <c r="G685" s="46" t="n"/>
    </row>
    <row r="686" ht="22.5" customHeight="1" s="23">
      <c r="A686" s="46" t="n"/>
      <c r="B686" s="46" t="n"/>
      <c r="C686" s="47" t="n"/>
      <c r="D686" s="46" t="n"/>
      <c r="E686" s="46" t="n"/>
      <c r="F686" s="46" t="n"/>
      <c r="G686" s="46" t="n"/>
    </row>
    <row r="687" ht="22.5" customHeight="1" s="23">
      <c r="A687" s="46" t="n"/>
      <c r="B687" s="46" t="n"/>
      <c r="C687" s="47" t="n"/>
      <c r="D687" s="46" t="n"/>
      <c r="E687" s="46" t="n"/>
      <c r="F687" s="46" t="n"/>
      <c r="G687" s="46" t="n"/>
    </row>
    <row r="688" ht="22.5" customHeight="1" s="23">
      <c r="A688" s="46" t="n"/>
      <c r="B688" s="46" t="n"/>
      <c r="C688" s="47" t="n"/>
      <c r="D688" s="46" t="n"/>
      <c r="E688" s="46" t="n"/>
      <c r="F688" s="46" t="n"/>
      <c r="G688" s="46" t="n"/>
    </row>
    <row r="689" ht="22.5" customHeight="1" s="23">
      <c r="A689" s="46" t="n"/>
      <c r="B689" s="46" t="n"/>
      <c r="C689" s="47" t="n"/>
      <c r="D689" s="46" t="n"/>
      <c r="E689" s="46" t="n"/>
      <c r="F689" s="46" t="n"/>
      <c r="G689" s="46" t="n"/>
    </row>
    <row r="690" ht="22.5" customHeight="1" s="23">
      <c r="A690" s="46" t="n"/>
      <c r="B690" s="46" t="n"/>
      <c r="C690" s="47" t="n"/>
      <c r="D690" s="46" t="n"/>
      <c r="E690" s="46" t="n"/>
      <c r="F690" s="46" t="n"/>
      <c r="G690" s="46" t="n"/>
    </row>
    <row r="691" ht="22.5" customHeight="1" s="23">
      <c r="A691" s="46" t="n"/>
      <c r="B691" s="46" t="n"/>
      <c r="C691" s="47" t="n"/>
      <c r="D691" s="46" t="n"/>
      <c r="E691" s="46" t="n"/>
      <c r="F691" s="46" t="n"/>
      <c r="G691" s="46" t="n"/>
    </row>
    <row r="692" ht="22.5" customHeight="1" s="23">
      <c r="A692" s="46" t="n"/>
      <c r="B692" s="46" t="n"/>
      <c r="C692" s="47" t="n"/>
      <c r="D692" s="46" t="n"/>
      <c r="E692" s="46" t="n"/>
      <c r="F692" s="46" t="n"/>
      <c r="G692" s="46" t="n"/>
    </row>
    <row r="693" ht="22.5" customHeight="1" s="23">
      <c r="A693" s="46" t="n"/>
      <c r="B693" s="46" t="n"/>
      <c r="C693" s="47" t="n"/>
      <c r="D693" s="46" t="n"/>
      <c r="E693" s="46" t="n"/>
      <c r="F693" s="46" t="n"/>
      <c r="G693" s="46" t="n"/>
    </row>
    <row r="694" ht="22.5" customHeight="1" s="23">
      <c r="A694" s="46" t="n"/>
      <c r="B694" s="46" t="n"/>
      <c r="C694" s="47" t="n"/>
      <c r="D694" s="46" t="n"/>
      <c r="E694" s="46" t="n"/>
      <c r="F694" s="46" t="n"/>
      <c r="G694" s="46" t="n"/>
    </row>
    <row r="695" ht="22.5" customHeight="1" s="23">
      <c r="A695" s="46" t="n"/>
      <c r="B695" s="46" t="n"/>
      <c r="C695" s="47" t="n"/>
      <c r="D695" s="46" t="n"/>
      <c r="E695" s="46" t="n"/>
      <c r="F695" s="46" t="n"/>
      <c r="G695" s="46" t="n"/>
    </row>
    <row r="696" ht="22.5" customHeight="1" s="23">
      <c r="A696" s="46" t="n"/>
      <c r="B696" s="46" t="n"/>
      <c r="C696" s="47" t="n"/>
      <c r="D696" s="46" t="n"/>
      <c r="E696" s="46" t="n"/>
      <c r="F696" s="46" t="n"/>
      <c r="G696" s="46" t="n"/>
    </row>
    <row r="697" ht="22.5" customHeight="1" s="23">
      <c r="A697" s="46" t="n"/>
      <c r="B697" s="46" t="n"/>
      <c r="C697" s="47" t="n"/>
      <c r="D697" s="46" t="n"/>
      <c r="E697" s="46" t="n"/>
      <c r="F697" s="46" t="n"/>
      <c r="G697" s="46" t="n"/>
    </row>
    <row r="698" ht="22.5" customHeight="1" s="23">
      <c r="A698" s="46" t="n"/>
      <c r="B698" s="46" t="n"/>
      <c r="C698" s="47" t="n"/>
      <c r="D698" s="46" t="n"/>
      <c r="E698" s="46" t="n"/>
      <c r="F698" s="46" t="n"/>
      <c r="G698" s="46" t="n"/>
    </row>
    <row r="699" ht="22.5" customHeight="1" s="23">
      <c r="A699" s="46" t="n"/>
      <c r="B699" s="46" t="n"/>
      <c r="C699" s="47" t="n"/>
      <c r="D699" s="46" t="n"/>
      <c r="E699" s="46" t="n"/>
      <c r="F699" s="46" t="n"/>
      <c r="G699" s="46" t="n"/>
    </row>
    <row r="700" ht="22.5" customHeight="1" s="23">
      <c r="A700" s="46" t="n"/>
      <c r="B700" s="46" t="n"/>
      <c r="C700" s="47" t="n"/>
      <c r="D700" s="46" t="n"/>
      <c r="E700" s="46" t="n"/>
      <c r="F700" s="46" t="n"/>
      <c r="G700" s="46" t="n"/>
    </row>
    <row r="701" ht="22.5" customHeight="1" s="23">
      <c r="A701" s="46" t="n"/>
      <c r="B701" s="46" t="n"/>
      <c r="C701" s="47" t="n"/>
      <c r="D701" s="46" t="n"/>
      <c r="E701" s="46" t="n"/>
      <c r="F701" s="46" t="n"/>
      <c r="G701" s="46" t="n"/>
    </row>
    <row r="702" ht="22.5" customHeight="1" s="23">
      <c r="A702" s="46" t="n"/>
      <c r="B702" s="46" t="n"/>
      <c r="C702" s="47" t="n"/>
      <c r="D702" s="46" t="n"/>
      <c r="E702" s="46" t="n"/>
      <c r="F702" s="46" t="n"/>
      <c r="G702" s="46" t="n"/>
    </row>
    <row r="703" ht="22.5" customHeight="1" s="23">
      <c r="A703" s="46" t="n"/>
      <c r="B703" s="46" t="n"/>
      <c r="C703" s="47" t="n"/>
      <c r="D703" s="46" t="n"/>
      <c r="E703" s="46" t="n"/>
      <c r="F703" s="46" t="n"/>
      <c r="G703" s="46" t="n"/>
    </row>
    <row r="704" ht="22.5" customHeight="1" s="23">
      <c r="A704" s="46" t="n"/>
      <c r="B704" s="46" t="n"/>
      <c r="C704" s="47" t="n"/>
      <c r="D704" s="46" t="n"/>
      <c r="E704" s="46" t="n"/>
      <c r="F704" s="46" t="n"/>
      <c r="G704" s="46" t="n"/>
    </row>
    <row r="705" ht="22.5" customHeight="1" s="23">
      <c r="A705" s="46" t="n"/>
      <c r="B705" s="46" t="n"/>
      <c r="C705" s="47" t="n"/>
      <c r="D705" s="46" t="n"/>
      <c r="E705" s="46" t="n"/>
      <c r="F705" s="46" t="n"/>
      <c r="G705" s="46" t="n"/>
    </row>
    <row r="706" ht="22.5" customHeight="1" s="23">
      <c r="A706" s="46" t="n"/>
      <c r="B706" s="46" t="n"/>
      <c r="C706" s="47" t="n"/>
      <c r="D706" s="46" t="n"/>
      <c r="E706" s="46" t="n"/>
      <c r="F706" s="46" t="n"/>
      <c r="G706" s="46" t="n"/>
    </row>
    <row r="707" ht="22.5" customHeight="1" s="23">
      <c r="A707" s="46" t="n"/>
      <c r="B707" s="46" t="n"/>
      <c r="C707" s="47" t="n"/>
      <c r="D707" s="46" t="n"/>
      <c r="E707" s="46" t="n"/>
      <c r="F707" s="46" t="n"/>
      <c r="G707" s="46" t="n"/>
    </row>
    <row r="708" ht="22.5" customHeight="1" s="23">
      <c r="A708" s="46" t="n"/>
      <c r="B708" s="46" t="n"/>
      <c r="C708" s="47" t="n"/>
      <c r="D708" s="46" t="n"/>
      <c r="E708" s="46" t="n"/>
      <c r="F708" s="46" t="n"/>
      <c r="G708" s="46" t="n"/>
    </row>
    <row r="709" ht="22.5" customHeight="1" s="23">
      <c r="A709" s="46" t="n"/>
      <c r="B709" s="46" t="n"/>
      <c r="C709" s="47" t="n"/>
      <c r="D709" s="46" t="n"/>
      <c r="E709" s="46" t="n"/>
      <c r="F709" s="46" t="n"/>
      <c r="G709" s="46" t="n"/>
    </row>
    <row r="710" ht="22.5" customHeight="1" s="23">
      <c r="A710" s="46" t="n"/>
      <c r="B710" s="46" t="n"/>
      <c r="C710" s="47" t="n"/>
      <c r="D710" s="46" t="n"/>
      <c r="E710" s="46" t="n"/>
      <c r="F710" s="46" t="n"/>
      <c r="G710" s="46" t="n"/>
    </row>
    <row r="711" ht="22.5" customHeight="1" s="23">
      <c r="A711" s="46" t="n"/>
      <c r="B711" s="46" t="n"/>
      <c r="C711" s="47" t="n"/>
      <c r="D711" s="46" t="n"/>
      <c r="E711" s="46" t="n"/>
      <c r="F711" s="46" t="n"/>
      <c r="G711" s="46" t="n"/>
    </row>
    <row r="712" ht="22.5" customHeight="1" s="23">
      <c r="A712" s="46" t="n"/>
      <c r="B712" s="46" t="n"/>
      <c r="C712" s="47" t="n"/>
      <c r="D712" s="46" t="n"/>
      <c r="E712" s="46" t="n"/>
      <c r="F712" s="46" t="n"/>
      <c r="G712" s="46" t="n"/>
    </row>
    <row r="713" ht="22.5" customHeight="1" s="23">
      <c r="A713" s="46" t="n"/>
      <c r="B713" s="46" t="n"/>
      <c r="C713" s="47" t="n"/>
      <c r="D713" s="46" t="n"/>
      <c r="E713" s="46" t="n"/>
      <c r="F713" s="46" t="n"/>
      <c r="G713" s="46" t="n"/>
    </row>
    <row r="714" ht="22.5" customHeight="1" s="23">
      <c r="A714" s="46" t="n"/>
      <c r="B714" s="46" t="n"/>
      <c r="C714" s="47" t="n"/>
      <c r="D714" s="46" t="n"/>
      <c r="E714" s="46" t="n"/>
      <c r="F714" s="46" t="n"/>
      <c r="G714" s="46" t="n"/>
    </row>
    <row r="715" ht="22.5" customHeight="1" s="23">
      <c r="A715" s="46" t="n"/>
      <c r="B715" s="46" t="n"/>
      <c r="C715" s="47" t="n"/>
      <c r="D715" s="46" t="n"/>
      <c r="E715" s="46" t="n"/>
      <c r="F715" s="46" t="n"/>
      <c r="G715" s="46" t="n"/>
    </row>
    <row r="716" ht="22.5" customHeight="1" s="23">
      <c r="A716" s="46" t="n"/>
      <c r="B716" s="46" t="n"/>
      <c r="C716" s="47" t="n"/>
      <c r="D716" s="46" t="n"/>
      <c r="E716" s="46" t="n"/>
      <c r="F716" s="46" t="n"/>
      <c r="G716" s="46" t="n"/>
    </row>
    <row r="717" ht="22.5" customHeight="1" s="23">
      <c r="A717" s="46" t="n"/>
      <c r="B717" s="46" t="n"/>
      <c r="C717" s="47" t="n"/>
      <c r="D717" s="46" t="n"/>
      <c r="E717" s="46" t="n"/>
      <c r="F717" s="46" t="n"/>
      <c r="G717" s="46" t="n"/>
    </row>
    <row r="718" ht="22.5" customHeight="1" s="23">
      <c r="A718" s="46" t="n"/>
      <c r="B718" s="46" t="n"/>
      <c r="C718" s="47" t="n"/>
      <c r="D718" s="46" t="n"/>
      <c r="E718" s="46" t="n"/>
      <c r="F718" s="46" t="n"/>
      <c r="G718" s="46" t="n"/>
    </row>
    <row r="719" ht="22.5" customHeight="1" s="23">
      <c r="A719" s="46" t="n"/>
      <c r="B719" s="46" t="n"/>
      <c r="C719" s="47" t="n"/>
      <c r="D719" s="46" t="n"/>
      <c r="E719" s="46" t="n"/>
      <c r="F719" s="46" t="n"/>
      <c r="G719" s="46" t="n"/>
    </row>
    <row r="720" ht="22.5" customHeight="1" s="23">
      <c r="A720" s="46" t="n"/>
      <c r="B720" s="46" t="n"/>
      <c r="C720" s="47" t="n"/>
      <c r="D720" s="46" t="n"/>
      <c r="E720" s="46" t="n"/>
      <c r="F720" s="46" t="n"/>
      <c r="G720" s="46" t="n"/>
    </row>
    <row r="721" ht="22.5" customHeight="1" s="23">
      <c r="A721" s="46" t="n"/>
      <c r="B721" s="46" t="n"/>
      <c r="C721" s="47" t="n"/>
      <c r="D721" s="46" t="n"/>
      <c r="E721" s="46" t="n"/>
      <c r="F721" s="46" t="n"/>
      <c r="G721" s="46" t="n"/>
    </row>
    <row r="722" ht="22.5" customHeight="1" s="23">
      <c r="A722" s="46" t="n"/>
      <c r="B722" s="46" t="n"/>
      <c r="C722" s="47" t="n"/>
      <c r="D722" s="46" t="n"/>
      <c r="E722" s="46" t="n"/>
      <c r="F722" s="46" t="n"/>
      <c r="G722" s="46" t="n"/>
    </row>
    <row r="723" ht="22.5" customHeight="1" s="23">
      <c r="A723" s="46" t="n"/>
      <c r="B723" s="46" t="n"/>
      <c r="C723" s="47" t="n"/>
      <c r="D723" s="46" t="n"/>
      <c r="E723" s="46" t="n"/>
      <c r="F723" s="46" t="n"/>
      <c r="G723" s="46" t="n"/>
    </row>
    <row r="724" ht="22.5" customHeight="1" s="23">
      <c r="A724" s="46" t="n"/>
      <c r="B724" s="46" t="n"/>
      <c r="C724" s="47" t="n"/>
      <c r="D724" s="46" t="n"/>
      <c r="E724" s="46" t="n"/>
      <c r="F724" s="46" t="n"/>
      <c r="G724" s="46" t="n"/>
    </row>
    <row r="725" ht="22.5" customHeight="1" s="23">
      <c r="A725" s="46" t="n"/>
      <c r="B725" s="46" t="n"/>
      <c r="C725" s="47" t="n"/>
      <c r="D725" s="46" t="n"/>
      <c r="E725" s="46" t="n"/>
      <c r="F725" s="46" t="n"/>
      <c r="G725" s="46" t="n"/>
    </row>
    <row r="726" ht="22.5" customHeight="1" s="23">
      <c r="A726" s="46" t="n"/>
      <c r="B726" s="46" t="n"/>
      <c r="C726" s="47" t="n"/>
      <c r="D726" s="46" t="n"/>
      <c r="E726" s="46" t="n"/>
      <c r="F726" s="46" t="n"/>
      <c r="G726" s="46" t="n"/>
    </row>
    <row r="727" ht="22.5" customHeight="1" s="23">
      <c r="A727" s="46" t="n"/>
      <c r="B727" s="46" t="n"/>
      <c r="C727" s="47" t="n"/>
      <c r="D727" s="46" t="n"/>
      <c r="E727" s="46" t="n"/>
      <c r="F727" s="46" t="n"/>
      <c r="G727" s="46" t="n"/>
    </row>
    <row r="728" ht="22.5" customHeight="1" s="23">
      <c r="A728" s="46" t="n"/>
      <c r="B728" s="46" t="n"/>
      <c r="C728" s="47" t="n"/>
      <c r="D728" s="46" t="n"/>
      <c r="E728" s="46" t="n"/>
      <c r="F728" s="46" t="n"/>
      <c r="G728" s="46" t="n"/>
    </row>
    <row r="729" ht="22.5" customHeight="1" s="23">
      <c r="A729" s="46" t="n"/>
      <c r="B729" s="46" t="n"/>
      <c r="C729" s="47" t="n"/>
      <c r="D729" s="46" t="n"/>
      <c r="E729" s="46" t="n"/>
      <c r="F729" s="46" t="n"/>
      <c r="G729" s="46" t="n"/>
    </row>
    <row r="730" ht="22.5" customHeight="1" s="23">
      <c r="A730" s="46" t="n"/>
      <c r="B730" s="46" t="n"/>
      <c r="C730" s="47" t="n"/>
      <c r="D730" s="46" t="n"/>
      <c r="E730" s="46" t="n"/>
      <c r="F730" s="46" t="n"/>
      <c r="G730" s="46" t="n"/>
    </row>
    <row r="731" ht="22.5" customHeight="1" s="23">
      <c r="A731" s="46" t="n"/>
      <c r="B731" s="46" t="n"/>
      <c r="C731" s="47" t="n"/>
      <c r="D731" s="46" t="n"/>
      <c r="E731" s="46" t="n"/>
      <c r="F731" s="46" t="n"/>
      <c r="G731" s="46" t="n"/>
    </row>
    <row r="732" ht="22.5" customHeight="1" s="23">
      <c r="A732" s="46" t="n"/>
      <c r="B732" s="46" t="n"/>
      <c r="C732" s="47" t="n"/>
      <c r="D732" s="46" t="n"/>
      <c r="E732" s="46" t="n"/>
      <c r="F732" s="46" t="n"/>
      <c r="G732" s="46" t="n"/>
    </row>
    <row r="733" ht="22.5" customHeight="1" s="23">
      <c r="A733" s="46" t="n"/>
      <c r="B733" s="46" t="n"/>
      <c r="C733" s="47" t="n"/>
      <c r="D733" s="46" t="n"/>
      <c r="E733" s="46" t="n"/>
      <c r="F733" s="46" t="n"/>
      <c r="G733" s="46" t="n"/>
    </row>
    <row r="734" ht="22.5" customHeight="1" s="23">
      <c r="A734" s="46" t="n"/>
      <c r="B734" s="46" t="n"/>
      <c r="C734" s="47" t="n"/>
      <c r="D734" s="46" t="n"/>
      <c r="E734" s="46" t="n"/>
      <c r="F734" s="46" t="n"/>
      <c r="G734" s="46" t="n"/>
    </row>
    <row r="735" ht="22.5" customHeight="1" s="23">
      <c r="A735" s="46" t="n"/>
      <c r="B735" s="46" t="n"/>
      <c r="C735" s="47" t="n"/>
      <c r="D735" s="46" t="n"/>
      <c r="E735" s="46" t="n"/>
      <c r="F735" s="46" t="n"/>
      <c r="G735" s="46" t="n"/>
    </row>
    <row r="736" ht="22.5" customHeight="1" s="23">
      <c r="A736" s="46" t="n"/>
      <c r="B736" s="46" t="n"/>
      <c r="C736" s="47" t="n"/>
      <c r="D736" s="46" t="n"/>
      <c r="E736" s="46" t="n"/>
      <c r="F736" s="46" t="n"/>
      <c r="G736" s="46" t="n"/>
    </row>
    <row r="737" ht="22.5" customHeight="1" s="23">
      <c r="A737" s="46" t="n"/>
      <c r="B737" s="46" t="n"/>
      <c r="C737" s="47" t="n"/>
      <c r="D737" s="46" t="n"/>
      <c r="E737" s="46" t="n"/>
      <c r="F737" s="46" t="n"/>
      <c r="G737" s="46" t="n"/>
    </row>
    <row r="738" ht="22.5" customHeight="1" s="23">
      <c r="A738" s="46" t="n"/>
      <c r="B738" s="46" t="n"/>
      <c r="C738" s="47" t="n"/>
      <c r="D738" s="46" t="n"/>
      <c r="E738" s="46" t="n"/>
      <c r="F738" s="46" t="n"/>
      <c r="G738" s="46" t="n"/>
    </row>
    <row r="739" ht="22.5" customHeight="1" s="23">
      <c r="A739" s="46" t="n"/>
      <c r="B739" s="46" t="n"/>
      <c r="C739" s="47" t="n"/>
      <c r="D739" s="46" t="n"/>
      <c r="E739" s="46" t="n"/>
      <c r="F739" s="46" t="n"/>
      <c r="G739" s="46" t="n"/>
    </row>
    <row r="740" ht="22.5" customHeight="1" s="23">
      <c r="A740" s="46" t="n"/>
      <c r="B740" s="46" t="n"/>
      <c r="C740" s="47" t="n"/>
      <c r="D740" s="46" t="n"/>
      <c r="E740" s="46" t="n"/>
      <c r="F740" s="46" t="n"/>
      <c r="G740" s="46" t="n"/>
    </row>
    <row r="741" ht="22.5" customHeight="1" s="23">
      <c r="A741" s="46" t="n"/>
      <c r="B741" s="46" t="n"/>
      <c r="C741" s="47" t="n"/>
      <c r="D741" s="46" t="n"/>
      <c r="E741" s="46" t="n"/>
      <c r="F741" s="46" t="n"/>
      <c r="G741" s="46" t="n"/>
    </row>
    <row r="742" ht="22.5" customHeight="1" s="23">
      <c r="A742" s="46" t="n"/>
      <c r="B742" s="46" t="n"/>
      <c r="C742" s="47" t="n"/>
      <c r="D742" s="46" t="n"/>
      <c r="E742" s="46" t="n"/>
      <c r="F742" s="46" t="n"/>
      <c r="G742" s="46" t="n"/>
    </row>
    <row r="743" ht="22.5" customHeight="1" s="23">
      <c r="A743" s="46" t="n"/>
      <c r="B743" s="46" t="n"/>
      <c r="C743" s="47" t="n"/>
      <c r="D743" s="46" t="n"/>
      <c r="E743" s="46" t="n"/>
      <c r="F743" s="46" t="n"/>
      <c r="G743" s="46" t="n"/>
    </row>
    <row r="744" ht="22.5" customHeight="1" s="23">
      <c r="A744" s="46" t="n"/>
      <c r="B744" s="46" t="n"/>
      <c r="C744" s="47" t="n"/>
      <c r="D744" s="46" t="n"/>
      <c r="E744" s="46" t="n"/>
      <c r="F744" s="46" t="n"/>
      <c r="G744" s="46" t="n"/>
    </row>
    <row r="745" ht="22.5" customHeight="1" s="23">
      <c r="A745" s="46" t="n"/>
      <c r="B745" s="46" t="n"/>
      <c r="C745" s="47" t="n"/>
      <c r="D745" s="46" t="n"/>
      <c r="E745" s="46" t="n"/>
      <c r="F745" s="46" t="n"/>
      <c r="G745" s="46" t="n"/>
    </row>
    <row r="746" ht="22.5" customHeight="1" s="23">
      <c r="A746" s="46" t="n"/>
      <c r="B746" s="46" t="n"/>
      <c r="C746" s="47" t="n"/>
      <c r="D746" s="46" t="n"/>
      <c r="E746" s="46" t="n"/>
      <c r="F746" s="46" t="n"/>
      <c r="G746" s="46" t="n"/>
    </row>
    <row r="747" ht="22.5" customHeight="1" s="23">
      <c r="A747" s="46" t="n"/>
      <c r="B747" s="46" t="n"/>
      <c r="C747" s="47" t="n"/>
      <c r="D747" s="46" t="n"/>
      <c r="E747" s="46" t="n"/>
      <c r="F747" s="46" t="n"/>
      <c r="G747" s="46" t="n"/>
    </row>
    <row r="748" ht="22.5" customHeight="1" s="23">
      <c r="A748" s="46" t="n"/>
      <c r="B748" s="46" t="n"/>
      <c r="C748" s="47" t="n"/>
      <c r="D748" s="46" t="n"/>
      <c r="E748" s="46" t="n"/>
      <c r="F748" s="46" t="n"/>
      <c r="G748" s="46" t="n"/>
    </row>
    <row r="749" ht="22.5" customHeight="1" s="23">
      <c r="A749" s="46" t="n"/>
      <c r="B749" s="46" t="n"/>
      <c r="C749" s="47" t="n"/>
      <c r="D749" s="46" t="n"/>
      <c r="E749" s="46" t="n"/>
      <c r="F749" s="46" t="n"/>
      <c r="G749" s="46" t="n"/>
    </row>
    <row r="750" ht="22.5" customHeight="1" s="23">
      <c r="A750" s="46" t="n"/>
      <c r="B750" s="46" t="n"/>
      <c r="C750" s="47" t="n"/>
      <c r="D750" s="46" t="n"/>
      <c r="E750" s="46" t="n"/>
      <c r="F750" s="46" t="n"/>
      <c r="G750" s="46" t="n"/>
    </row>
    <row r="751" ht="22.5" customHeight="1" s="23">
      <c r="A751" s="46" t="n"/>
      <c r="B751" s="46" t="n"/>
      <c r="C751" s="47" t="n"/>
      <c r="D751" s="46" t="n"/>
      <c r="E751" s="46" t="n"/>
      <c r="F751" s="46" t="n"/>
      <c r="G751" s="46" t="n"/>
    </row>
    <row r="752" ht="22.5" customHeight="1" s="23">
      <c r="A752" s="46" t="n"/>
      <c r="B752" s="46" t="n"/>
      <c r="C752" s="47" t="n"/>
      <c r="D752" s="46" t="n"/>
      <c r="E752" s="46" t="n"/>
      <c r="F752" s="46" t="n"/>
      <c r="G752" s="46" t="n"/>
    </row>
    <row r="753" ht="22.5" customHeight="1" s="23">
      <c r="A753" s="46" t="n"/>
      <c r="B753" s="46" t="n"/>
      <c r="C753" s="47" t="n"/>
      <c r="D753" s="46" t="n"/>
      <c r="E753" s="46" t="n"/>
      <c r="F753" s="46" t="n"/>
      <c r="G753" s="46" t="n"/>
    </row>
    <row r="754" ht="22.5" customHeight="1" s="23">
      <c r="A754" s="46" t="n"/>
      <c r="B754" s="46" t="n"/>
      <c r="C754" s="47" t="n"/>
      <c r="D754" s="46" t="n"/>
      <c r="E754" s="46" t="n"/>
      <c r="F754" s="46" t="n"/>
      <c r="G754" s="46" t="n"/>
    </row>
    <row r="755" ht="22.5" customHeight="1" s="23">
      <c r="A755" s="46" t="n"/>
      <c r="B755" s="46" t="n"/>
      <c r="C755" s="47" t="n"/>
      <c r="D755" s="46" t="n"/>
      <c r="E755" s="46" t="n"/>
      <c r="F755" s="46" t="n"/>
      <c r="G755" s="46" t="n"/>
    </row>
    <row r="756" ht="22.5" customHeight="1" s="23">
      <c r="A756" s="46" t="n"/>
      <c r="B756" s="46" t="n"/>
      <c r="C756" s="47" t="n"/>
      <c r="D756" s="46" t="n"/>
      <c r="E756" s="46" t="n"/>
      <c r="F756" s="46" t="n"/>
      <c r="G756" s="46" t="n"/>
    </row>
    <row r="757" ht="22.5" customHeight="1" s="23">
      <c r="A757" s="46" t="n"/>
      <c r="B757" s="46" t="n"/>
      <c r="C757" s="47" t="n"/>
      <c r="D757" s="46" t="n"/>
      <c r="E757" s="46" t="n"/>
      <c r="F757" s="46" t="n"/>
      <c r="G757" s="46" t="n"/>
    </row>
    <row r="758" ht="22.5" customHeight="1" s="23">
      <c r="A758" s="46" t="n"/>
      <c r="B758" s="46" t="n"/>
      <c r="C758" s="47" t="n"/>
      <c r="D758" s="46" t="n"/>
      <c r="E758" s="46" t="n"/>
      <c r="F758" s="46" t="n"/>
      <c r="G758" s="46" t="n"/>
    </row>
    <row r="759" ht="22.5" customHeight="1" s="23">
      <c r="A759" s="46" t="n"/>
      <c r="B759" s="46" t="n"/>
      <c r="C759" s="47" t="n"/>
      <c r="D759" s="46" t="n"/>
      <c r="E759" s="46" t="n"/>
      <c r="F759" s="46" t="n"/>
      <c r="G759" s="46" t="n"/>
    </row>
    <row r="760" ht="22.5" customHeight="1" s="23">
      <c r="A760" s="46" t="n"/>
      <c r="B760" s="46" t="n"/>
      <c r="C760" s="47" t="n"/>
      <c r="D760" s="46" t="n"/>
      <c r="E760" s="46" t="n"/>
      <c r="F760" s="46" t="n"/>
      <c r="G760" s="46" t="n"/>
    </row>
    <row r="761" ht="22.5" customHeight="1" s="23">
      <c r="A761" s="46" t="n"/>
      <c r="B761" s="46" t="n"/>
      <c r="C761" s="47" t="n"/>
      <c r="D761" s="46" t="n"/>
      <c r="E761" s="46" t="n"/>
      <c r="F761" s="46" t="n"/>
      <c r="G761" s="46" t="n"/>
    </row>
    <row r="762" ht="22.5" customHeight="1" s="23">
      <c r="A762" s="46" t="n"/>
      <c r="B762" s="46" t="n"/>
      <c r="C762" s="47" t="n"/>
      <c r="D762" s="46" t="n"/>
      <c r="E762" s="46" t="n"/>
      <c r="F762" s="46" t="n"/>
      <c r="G762" s="46" t="n"/>
    </row>
    <row r="763" ht="22.5" customHeight="1" s="23">
      <c r="A763" s="46" t="n"/>
      <c r="B763" s="46" t="n"/>
      <c r="C763" s="47" t="n"/>
      <c r="D763" s="46" t="n"/>
      <c r="E763" s="46" t="n"/>
      <c r="F763" s="46" t="n"/>
      <c r="G763" s="46" t="n"/>
    </row>
    <row r="764" ht="22.5" customHeight="1" s="23">
      <c r="A764" s="46" t="n"/>
      <c r="B764" s="46" t="n"/>
      <c r="C764" s="47" t="n"/>
      <c r="D764" s="46" t="n"/>
      <c r="E764" s="46" t="n"/>
      <c r="F764" s="46" t="n"/>
      <c r="G764" s="46" t="n"/>
    </row>
    <row r="765" ht="22.5" customHeight="1" s="23">
      <c r="A765" s="46" t="n"/>
      <c r="B765" s="46" t="n"/>
      <c r="C765" s="47" t="n"/>
      <c r="D765" s="46" t="n"/>
      <c r="E765" s="46" t="n"/>
      <c r="F765" s="46" t="n"/>
      <c r="G765" s="46" t="n"/>
    </row>
    <row r="766" ht="22.5" customHeight="1" s="23">
      <c r="A766" s="46" t="n"/>
      <c r="B766" s="46" t="n"/>
      <c r="C766" s="47" t="n"/>
      <c r="D766" s="46" t="n"/>
      <c r="E766" s="46" t="n"/>
      <c r="F766" s="46" t="n"/>
      <c r="G766" s="46" t="n"/>
    </row>
    <row r="767" ht="22.5" customHeight="1" s="23">
      <c r="A767" s="46" t="n"/>
      <c r="B767" s="46" t="n"/>
      <c r="C767" s="47" t="n"/>
      <c r="D767" s="46" t="n"/>
      <c r="E767" s="46" t="n"/>
      <c r="F767" s="46" t="n"/>
      <c r="G767" s="46" t="n"/>
    </row>
    <row r="768" ht="22.5" customHeight="1" s="23">
      <c r="A768" s="46" t="n"/>
      <c r="B768" s="46" t="n"/>
      <c r="C768" s="47" t="n"/>
      <c r="D768" s="46" t="n"/>
      <c r="E768" s="46" t="n"/>
      <c r="F768" s="46" t="n"/>
      <c r="G768" s="46" t="n"/>
    </row>
    <row r="769" ht="22.5" customHeight="1" s="23">
      <c r="A769" s="46" t="n"/>
      <c r="B769" s="46" t="n"/>
      <c r="C769" s="47" t="n"/>
      <c r="D769" s="46" t="n"/>
      <c r="E769" s="46" t="n"/>
      <c r="F769" s="46" t="n"/>
      <c r="G769" s="46" t="n"/>
    </row>
    <row r="770" ht="22.5" customHeight="1" s="23">
      <c r="A770" s="46" t="n"/>
      <c r="B770" s="46" t="n"/>
      <c r="C770" s="47" t="n"/>
      <c r="D770" s="46" t="n"/>
      <c r="E770" s="46" t="n"/>
      <c r="F770" s="46" t="n"/>
      <c r="G770" s="46" t="n"/>
    </row>
    <row r="771" ht="22.5" customHeight="1" s="23">
      <c r="A771" s="46" t="n"/>
      <c r="B771" s="46" t="n"/>
      <c r="C771" s="47" t="n"/>
      <c r="D771" s="46" t="n"/>
      <c r="E771" s="46" t="n"/>
      <c r="F771" s="46" t="n"/>
      <c r="G771" s="46" t="n"/>
    </row>
    <row r="772" ht="22.5" customHeight="1" s="23">
      <c r="A772" s="46" t="n"/>
      <c r="B772" s="46" t="n"/>
      <c r="C772" s="47" t="n"/>
      <c r="D772" s="46" t="n"/>
      <c r="E772" s="46" t="n"/>
      <c r="F772" s="46" t="n"/>
      <c r="G772" s="46" t="n"/>
    </row>
    <row r="773" ht="22.5" customHeight="1" s="23">
      <c r="A773" s="46" t="n"/>
      <c r="B773" s="46" t="n"/>
      <c r="C773" s="47" t="n"/>
      <c r="D773" s="46" t="n"/>
      <c r="E773" s="46" t="n"/>
      <c r="F773" s="46" t="n"/>
      <c r="G773" s="46" t="n"/>
    </row>
    <row r="774" ht="22.5" customHeight="1" s="23">
      <c r="A774" s="46" t="n"/>
      <c r="B774" s="46" t="n"/>
      <c r="C774" s="47" t="n"/>
      <c r="D774" s="46" t="n"/>
      <c r="E774" s="46" t="n"/>
      <c r="F774" s="46" t="n"/>
      <c r="G774" s="46" t="n"/>
    </row>
    <row r="775" ht="22.5" customHeight="1" s="23">
      <c r="A775" s="46" t="n"/>
      <c r="B775" s="46" t="n"/>
      <c r="C775" s="47" t="n"/>
      <c r="D775" s="46" t="n"/>
      <c r="E775" s="46" t="n"/>
      <c r="F775" s="46" t="n"/>
      <c r="G775" s="46" t="n"/>
    </row>
    <row r="776" ht="22.5" customHeight="1" s="23">
      <c r="A776" s="46" t="n"/>
      <c r="B776" s="46" t="n"/>
      <c r="C776" s="47" t="n"/>
      <c r="D776" s="46" t="n"/>
      <c r="E776" s="46" t="n"/>
      <c r="F776" s="46" t="n"/>
      <c r="G776" s="46" t="n"/>
    </row>
    <row r="777" ht="22.5" customHeight="1" s="23">
      <c r="A777" s="46" t="n"/>
      <c r="B777" s="46" t="n"/>
      <c r="C777" s="47" t="n"/>
      <c r="D777" s="46" t="n"/>
      <c r="E777" s="46" t="n"/>
      <c r="F777" s="46" t="n"/>
      <c r="G777" s="46" t="n"/>
    </row>
    <row r="778" ht="22.5" customHeight="1" s="23">
      <c r="A778" s="46" t="n"/>
      <c r="B778" s="46" t="n"/>
      <c r="C778" s="47" t="n"/>
      <c r="D778" s="46" t="n"/>
      <c r="E778" s="46" t="n"/>
      <c r="F778" s="46" t="n"/>
      <c r="G778" s="46" t="n"/>
    </row>
    <row r="779" ht="22.5" customHeight="1" s="23">
      <c r="A779" s="46" t="n"/>
      <c r="B779" s="46" t="n"/>
      <c r="C779" s="47" t="n"/>
      <c r="D779" s="46" t="n"/>
      <c r="E779" s="46" t="n"/>
      <c r="F779" s="46" t="n"/>
      <c r="G779" s="46" t="n"/>
    </row>
    <row r="780" ht="22.5" customHeight="1" s="23">
      <c r="A780" s="46" t="n"/>
      <c r="B780" s="46" t="n"/>
      <c r="C780" s="47" t="n"/>
      <c r="D780" s="46" t="n"/>
      <c r="E780" s="46" t="n"/>
      <c r="F780" s="46" t="n"/>
      <c r="G780" s="46" t="n"/>
    </row>
    <row r="781" ht="22.5" customHeight="1" s="23">
      <c r="A781" s="46" t="n"/>
      <c r="B781" s="46" t="n"/>
      <c r="C781" s="47" t="n"/>
      <c r="D781" s="46" t="n"/>
      <c r="E781" s="46" t="n"/>
      <c r="F781" s="46" t="n"/>
      <c r="G781" s="46" t="n"/>
    </row>
    <row r="782" ht="22.5" customHeight="1" s="23">
      <c r="A782" s="46" t="n"/>
      <c r="B782" s="46" t="n"/>
      <c r="C782" s="47" t="n"/>
      <c r="D782" s="46" t="n"/>
      <c r="E782" s="46" t="n"/>
      <c r="F782" s="46" t="n"/>
      <c r="G782" s="46" t="n"/>
    </row>
    <row r="783" ht="22.5" customHeight="1" s="23">
      <c r="A783" s="46" t="n"/>
      <c r="B783" s="46" t="n"/>
      <c r="C783" s="47" t="n"/>
      <c r="D783" s="46" t="n"/>
      <c r="E783" s="46" t="n"/>
      <c r="F783" s="46" t="n"/>
      <c r="G783" s="46" t="n"/>
    </row>
    <row r="784" ht="22.5" customHeight="1" s="23">
      <c r="A784" s="46" t="n"/>
      <c r="B784" s="46" t="n"/>
      <c r="C784" s="47" t="n"/>
      <c r="D784" s="46" t="n"/>
      <c r="E784" s="46" t="n"/>
      <c r="F784" s="46" t="n"/>
      <c r="G784" s="46" t="n"/>
    </row>
    <row r="785" ht="22.5" customHeight="1" s="23">
      <c r="A785" s="46" t="n"/>
      <c r="B785" s="46" t="n"/>
      <c r="C785" s="47" t="n"/>
      <c r="D785" s="46" t="n"/>
      <c r="E785" s="46" t="n"/>
      <c r="F785" s="46" t="n"/>
      <c r="G785" s="46" t="n"/>
    </row>
    <row r="786" ht="22.5" customHeight="1" s="23">
      <c r="A786" s="46" t="n"/>
      <c r="B786" s="46" t="n"/>
      <c r="C786" s="47" t="n"/>
      <c r="D786" s="46" t="n"/>
      <c r="E786" s="46" t="n"/>
      <c r="F786" s="46" t="n"/>
      <c r="G786" s="46" t="n"/>
    </row>
    <row r="787" ht="22.5" customHeight="1" s="23">
      <c r="A787" s="46" t="n"/>
      <c r="B787" s="46" t="n"/>
      <c r="C787" s="47" t="n"/>
      <c r="D787" s="46" t="n"/>
      <c r="E787" s="46" t="n"/>
      <c r="F787" s="46" t="n"/>
      <c r="G787" s="46" t="n"/>
    </row>
    <row r="788" ht="22.5" customHeight="1" s="23">
      <c r="A788" s="46" t="n"/>
      <c r="B788" s="46" t="n"/>
      <c r="C788" s="47" t="n"/>
      <c r="D788" s="46" t="n"/>
      <c r="E788" s="46" t="n"/>
      <c r="F788" s="46" t="n"/>
      <c r="G788" s="46" t="n"/>
    </row>
    <row r="789" ht="22.5" customHeight="1" s="23">
      <c r="A789" s="46" t="n"/>
      <c r="B789" s="46" t="n"/>
      <c r="C789" s="47" t="n"/>
      <c r="D789" s="46" t="n"/>
      <c r="E789" s="46" t="n"/>
      <c r="F789" s="46" t="n"/>
      <c r="G789" s="46" t="n"/>
    </row>
    <row r="790" ht="22.5" customHeight="1" s="23">
      <c r="A790" s="46" t="n"/>
      <c r="B790" s="46" t="n"/>
      <c r="C790" s="47" t="n"/>
      <c r="D790" s="46" t="n"/>
      <c r="E790" s="46" t="n"/>
      <c r="F790" s="46" t="n"/>
      <c r="G790" s="46" t="n"/>
    </row>
    <row r="791" ht="22.5" customHeight="1" s="23">
      <c r="A791" s="46" t="n"/>
      <c r="B791" s="46" t="n"/>
      <c r="C791" s="47" t="n"/>
      <c r="D791" s="46" t="n"/>
      <c r="E791" s="46" t="n"/>
      <c r="F791" s="46" t="n"/>
      <c r="G791" s="46" t="n"/>
    </row>
    <row r="792" ht="22.5" customHeight="1" s="23">
      <c r="A792" s="46" t="n"/>
      <c r="B792" s="46" t="n"/>
      <c r="C792" s="47" t="n"/>
      <c r="D792" s="46" t="n"/>
      <c r="E792" s="46" t="n"/>
      <c r="F792" s="46" t="n"/>
      <c r="G792" s="46" t="n"/>
    </row>
    <row r="793" ht="22.5" customHeight="1" s="23">
      <c r="A793" s="46" t="n"/>
      <c r="B793" s="46" t="n"/>
      <c r="C793" s="47" t="n"/>
      <c r="D793" s="46" t="n"/>
      <c r="E793" s="46" t="n"/>
      <c r="F793" s="46" t="n"/>
      <c r="G793" s="46" t="n"/>
    </row>
    <row r="794" ht="22.5" customHeight="1" s="23">
      <c r="A794" s="46" t="n"/>
      <c r="B794" s="46" t="n"/>
      <c r="C794" s="47" t="n"/>
      <c r="D794" s="46" t="n"/>
      <c r="E794" s="46" t="n"/>
      <c r="F794" s="46" t="n"/>
      <c r="G794" s="46" t="n"/>
    </row>
    <row r="795" ht="22.5" customHeight="1" s="23">
      <c r="A795" s="46" t="n"/>
      <c r="B795" s="46" t="n"/>
      <c r="C795" s="47" t="n"/>
      <c r="D795" s="46" t="n"/>
      <c r="E795" s="46" t="n"/>
      <c r="F795" s="46" t="n"/>
      <c r="G795" s="46" t="n"/>
    </row>
    <row r="796" ht="22.5" customHeight="1" s="23">
      <c r="A796" s="46" t="n"/>
      <c r="B796" s="46" t="n"/>
      <c r="C796" s="47" t="n"/>
      <c r="D796" s="46" t="n"/>
      <c r="E796" s="46" t="n"/>
      <c r="F796" s="46" t="n"/>
      <c r="G796" s="46" t="n"/>
    </row>
    <row r="797" ht="22.5" customHeight="1" s="23">
      <c r="A797" s="46" t="n"/>
      <c r="B797" s="46" t="n"/>
      <c r="C797" s="47" t="n"/>
      <c r="D797" s="46" t="n"/>
      <c r="E797" s="46" t="n"/>
      <c r="F797" s="46" t="n"/>
      <c r="G797" s="46" t="n"/>
    </row>
    <row r="798" ht="22.5" customHeight="1" s="23">
      <c r="A798" s="46" t="n"/>
      <c r="B798" s="46" t="n"/>
      <c r="C798" s="47" t="n"/>
      <c r="D798" s="46" t="n"/>
      <c r="E798" s="46" t="n"/>
      <c r="F798" s="46" t="n"/>
      <c r="G798" s="46" t="n"/>
    </row>
    <row r="799" ht="22.5" customHeight="1" s="23">
      <c r="A799" s="46" t="n"/>
      <c r="B799" s="46" t="n"/>
      <c r="C799" s="47" t="n"/>
      <c r="D799" s="46" t="n"/>
      <c r="E799" s="46" t="n"/>
      <c r="F799" s="46" t="n"/>
      <c r="G799" s="46" t="n"/>
    </row>
    <row r="800" ht="22.5" customHeight="1" s="23">
      <c r="A800" s="46" t="n"/>
      <c r="B800" s="46" t="n"/>
      <c r="C800" s="47" t="n"/>
      <c r="D800" s="46" t="n"/>
      <c r="E800" s="46" t="n"/>
      <c r="F800" s="46" t="n"/>
      <c r="G800" s="46" t="n"/>
    </row>
    <row r="801" ht="22.5" customHeight="1" s="23">
      <c r="A801" s="46" t="n"/>
      <c r="B801" s="46" t="n"/>
      <c r="C801" s="47" t="n"/>
      <c r="D801" s="46" t="n"/>
      <c r="E801" s="46" t="n"/>
      <c r="F801" s="46" t="n"/>
      <c r="G801" s="46" t="n"/>
    </row>
    <row r="802" ht="22.5" customHeight="1" s="23">
      <c r="A802" s="46" t="n"/>
      <c r="B802" s="46" t="n"/>
      <c r="C802" s="47" t="n"/>
      <c r="D802" s="46" t="n"/>
      <c r="E802" s="46" t="n"/>
      <c r="F802" s="46" t="n"/>
      <c r="G802" s="46" t="n"/>
    </row>
    <row r="803" ht="22.5" customHeight="1" s="23">
      <c r="A803" s="46" t="n"/>
      <c r="B803" s="46" t="n"/>
      <c r="C803" s="47" t="n"/>
      <c r="D803" s="46" t="n"/>
      <c r="E803" s="46" t="n"/>
      <c r="F803" s="46" t="n"/>
      <c r="G803" s="46" t="n"/>
    </row>
    <row r="804" ht="22.5" customHeight="1" s="23">
      <c r="A804" s="46" t="n"/>
      <c r="B804" s="46" t="n"/>
      <c r="C804" s="47" t="n"/>
      <c r="D804" s="46" t="n"/>
      <c r="E804" s="46" t="n"/>
      <c r="F804" s="46" t="n"/>
      <c r="G804" s="46" t="n"/>
    </row>
    <row r="805" ht="22.5" customHeight="1" s="23">
      <c r="A805" s="46" t="n"/>
      <c r="B805" s="46" t="n"/>
      <c r="C805" s="47" t="n"/>
      <c r="D805" s="46" t="n"/>
      <c r="E805" s="46" t="n"/>
      <c r="F805" s="46" t="n"/>
      <c r="G805" s="46" t="n"/>
    </row>
    <row r="806" ht="22.5" customHeight="1" s="23">
      <c r="A806" s="46" t="n"/>
      <c r="B806" s="46" t="n"/>
      <c r="C806" s="47" t="n"/>
      <c r="D806" s="46" t="n"/>
      <c r="E806" s="46" t="n"/>
      <c r="F806" s="46" t="n"/>
      <c r="G806" s="46" t="n"/>
    </row>
    <row r="807" ht="22.5" customHeight="1" s="23">
      <c r="A807" s="46" t="n"/>
      <c r="B807" s="46" t="n"/>
      <c r="C807" s="47" t="n"/>
      <c r="D807" s="46" t="n"/>
      <c r="E807" s="46" t="n"/>
      <c r="F807" s="46" t="n"/>
      <c r="G807" s="46" t="n"/>
    </row>
    <row r="808" ht="22.5" customHeight="1" s="23">
      <c r="A808" s="46" t="n"/>
      <c r="B808" s="46" t="n"/>
      <c r="C808" s="47" t="n"/>
      <c r="D808" s="46" t="n"/>
      <c r="E808" s="46" t="n"/>
      <c r="F808" s="46" t="n"/>
      <c r="G808" s="46" t="n"/>
    </row>
    <row r="809" ht="22.5" customHeight="1" s="23">
      <c r="A809" s="46" t="n"/>
      <c r="B809" s="46" t="n"/>
      <c r="C809" s="47" t="n"/>
      <c r="D809" s="46" t="n"/>
      <c r="E809" s="46" t="n"/>
      <c r="F809" s="46" t="n"/>
      <c r="G809" s="46" t="n"/>
    </row>
    <row r="810" ht="22.5" customHeight="1" s="23">
      <c r="A810" s="46" t="n"/>
      <c r="B810" s="46" t="n"/>
      <c r="C810" s="47" t="n"/>
      <c r="D810" s="46" t="n"/>
      <c r="E810" s="46" t="n"/>
      <c r="F810" s="46" t="n"/>
      <c r="G810" s="46" t="n"/>
    </row>
    <row r="811" ht="22.5" customHeight="1" s="23">
      <c r="A811" s="46" t="n"/>
      <c r="B811" s="46" t="n"/>
      <c r="C811" s="47" t="n"/>
      <c r="D811" s="46" t="n"/>
      <c r="E811" s="46" t="n"/>
      <c r="F811" s="46" t="n"/>
      <c r="G811" s="46" t="n"/>
    </row>
    <row r="812" ht="22.5" customHeight="1" s="23">
      <c r="A812" s="46" t="n"/>
      <c r="B812" s="46" t="n"/>
      <c r="C812" s="47" t="n"/>
      <c r="D812" s="46" t="n"/>
      <c r="E812" s="46" t="n"/>
      <c r="F812" s="46" t="n"/>
      <c r="G812" s="46" t="n"/>
    </row>
    <row r="813" ht="22.5" customHeight="1" s="23">
      <c r="A813" s="46" t="n"/>
      <c r="B813" s="46" t="n"/>
      <c r="C813" s="47" t="n"/>
      <c r="D813" s="46" t="n"/>
      <c r="E813" s="46" t="n"/>
      <c r="F813" s="46" t="n"/>
      <c r="G813" s="46" t="n"/>
    </row>
    <row r="814" ht="22.5" customHeight="1" s="23">
      <c r="A814" s="46" t="n"/>
      <c r="B814" s="46" t="n"/>
      <c r="C814" s="47" t="n"/>
      <c r="D814" s="46" t="n"/>
      <c r="E814" s="46" t="n"/>
      <c r="F814" s="46" t="n"/>
      <c r="G814" s="46" t="n"/>
    </row>
    <row r="815" ht="22.5" customHeight="1" s="23">
      <c r="A815" s="46" t="n"/>
      <c r="B815" s="46" t="n"/>
      <c r="C815" s="47" t="n"/>
      <c r="D815" s="46" t="n"/>
      <c r="E815" s="46" t="n"/>
      <c r="F815" s="46" t="n"/>
      <c r="G815" s="46" t="n"/>
    </row>
    <row r="816" ht="22.5" customHeight="1" s="23">
      <c r="A816" s="46" t="n"/>
      <c r="B816" s="46" t="n"/>
      <c r="C816" s="47" t="n"/>
      <c r="D816" s="46" t="n"/>
      <c r="E816" s="46" t="n"/>
      <c r="F816" s="46" t="n"/>
      <c r="G816" s="46" t="n"/>
    </row>
    <row r="817" ht="22.5" customHeight="1" s="23">
      <c r="A817" s="46" t="n"/>
      <c r="B817" s="46" t="n"/>
      <c r="C817" s="47" t="n"/>
      <c r="D817" s="46" t="n"/>
      <c r="E817" s="46" t="n"/>
      <c r="F817" s="46" t="n"/>
      <c r="G817" s="46" t="n"/>
    </row>
    <row r="818" ht="22.5" customHeight="1" s="23">
      <c r="A818" s="46" t="n"/>
      <c r="B818" s="46" t="n"/>
      <c r="C818" s="47" t="n"/>
      <c r="D818" s="46" t="n"/>
      <c r="E818" s="46" t="n"/>
      <c r="F818" s="46" t="n"/>
      <c r="G818" s="46" t="n"/>
    </row>
    <row r="819" ht="22.5" customHeight="1" s="23">
      <c r="A819" s="46" t="n"/>
      <c r="B819" s="46" t="n"/>
      <c r="C819" s="47" t="n"/>
      <c r="D819" s="46" t="n"/>
      <c r="E819" s="46" t="n"/>
      <c r="F819" s="46" t="n"/>
      <c r="G819" s="46" t="n"/>
    </row>
    <row r="820" ht="22.5" customHeight="1" s="23">
      <c r="A820" s="46" t="n"/>
      <c r="B820" s="46" t="n"/>
      <c r="C820" s="47" t="n"/>
      <c r="D820" s="46" t="n"/>
      <c r="E820" s="46" t="n"/>
      <c r="F820" s="46" t="n"/>
      <c r="G820" s="46" t="n"/>
    </row>
    <row r="821" ht="22.5" customHeight="1" s="23">
      <c r="A821" s="46" t="n"/>
      <c r="B821" s="46" t="n"/>
      <c r="C821" s="47" t="n"/>
      <c r="D821" s="46" t="n"/>
      <c r="E821" s="46" t="n"/>
      <c r="F821" s="46" t="n"/>
      <c r="G821" s="46" t="n"/>
    </row>
    <row r="822" ht="22.5" customHeight="1" s="23">
      <c r="A822" s="46" t="n"/>
      <c r="B822" s="46" t="n"/>
      <c r="C822" s="47" t="n"/>
      <c r="D822" s="46" t="n"/>
      <c r="E822" s="46" t="n"/>
      <c r="F822" s="46" t="n"/>
      <c r="G822" s="46" t="n"/>
    </row>
    <row r="823" ht="22.5" customHeight="1" s="23">
      <c r="A823" s="46" t="n"/>
      <c r="B823" s="46" t="n"/>
      <c r="C823" s="47" t="n"/>
      <c r="D823" s="46" t="n"/>
      <c r="E823" s="46" t="n"/>
      <c r="F823" s="46" t="n"/>
      <c r="G823" s="46" t="n"/>
    </row>
    <row r="824" ht="22.5" customHeight="1" s="23">
      <c r="A824" s="46" t="n"/>
      <c r="B824" s="46" t="n"/>
      <c r="C824" s="47" t="n"/>
      <c r="D824" s="46" t="n"/>
      <c r="E824" s="46" t="n"/>
      <c r="F824" s="46" t="n"/>
      <c r="G824" s="46" t="n"/>
    </row>
    <row r="825" ht="22.5" customHeight="1" s="23">
      <c r="A825" s="46" t="n"/>
      <c r="B825" s="46" t="n"/>
      <c r="C825" s="47" t="n"/>
      <c r="D825" s="46" t="n"/>
      <c r="E825" s="46" t="n"/>
      <c r="F825" s="46" t="n"/>
      <c r="G825" s="46" t="n"/>
    </row>
    <row r="826" ht="22.5" customHeight="1" s="23">
      <c r="A826" s="46" t="n"/>
      <c r="B826" s="46" t="n"/>
      <c r="C826" s="47" t="n"/>
      <c r="D826" s="46" t="n"/>
      <c r="E826" s="46" t="n"/>
      <c r="F826" s="46" t="n"/>
      <c r="G826" s="46" t="n"/>
    </row>
    <row r="827" ht="22.5" customHeight="1" s="23">
      <c r="A827" s="46" t="n"/>
      <c r="B827" s="46" t="n"/>
      <c r="C827" s="47" t="n"/>
      <c r="D827" s="46" t="n"/>
      <c r="E827" s="46" t="n"/>
      <c r="F827" s="46" t="n"/>
      <c r="G827" s="46" t="n"/>
    </row>
    <row r="828" ht="22.5" customHeight="1" s="23">
      <c r="A828" s="46" t="n"/>
      <c r="B828" s="46" t="n"/>
      <c r="C828" s="47" t="n"/>
      <c r="D828" s="46" t="n"/>
      <c r="E828" s="46" t="n"/>
      <c r="F828" s="46" t="n"/>
      <c r="G828" s="46" t="n"/>
    </row>
    <row r="829" ht="22.5" customHeight="1" s="23">
      <c r="A829" s="46" t="n"/>
      <c r="B829" s="46" t="n"/>
      <c r="C829" s="47" t="n"/>
      <c r="D829" s="46" t="n"/>
      <c r="E829" s="46" t="n"/>
      <c r="F829" s="46" t="n"/>
      <c r="G829" s="46" t="n"/>
    </row>
    <row r="830" ht="22.5" customHeight="1" s="23">
      <c r="A830" s="46" t="n"/>
      <c r="B830" s="46" t="n"/>
      <c r="C830" s="47" t="n"/>
      <c r="D830" s="46" t="n"/>
      <c r="E830" s="46" t="n"/>
      <c r="F830" s="46" t="n"/>
      <c r="G830" s="46" t="n"/>
    </row>
    <row r="831" ht="22.5" customHeight="1" s="23">
      <c r="A831" s="46" t="n"/>
      <c r="B831" s="46" t="n"/>
      <c r="C831" s="47" t="n"/>
      <c r="D831" s="46" t="n"/>
      <c r="E831" s="46" t="n"/>
      <c r="F831" s="46" t="n"/>
      <c r="G831" s="46" t="n"/>
    </row>
    <row r="832" ht="22.5" customHeight="1" s="23">
      <c r="A832" s="46" t="n"/>
      <c r="B832" s="46" t="n"/>
      <c r="C832" s="47" t="n"/>
      <c r="D832" s="46" t="n"/>
      <c r="E832" s="46" t="n"/>
      <c r="F832" s="46" t="n"/>
      <c r="G832" s="46" t="n"/>
    </row>
    <row r="833" ht="22.5" customHeight="1" s="23">
      <c r="A833" s="46" t="n"/>
      <c r="B833" s="46" t="n"/>
      <c r="C833" s="47" t="n"/>
      <c r="D833" s="46" t="n"/>
      <c r="E833" s="46" t="n"/>
      <c r="F833" s="46" t="n"/>
      <c r="G833" s="46" t="n"/>
    </row>
    <row r="834" ht="22.5" customHeight="1" s="23">
      <c r="A834" s="46" t="n"/>
      <c r="B834" s="46" t="n"/>
      <c r="C834" s="47" t="n"/>
      <c r="D834" s="46" t="n"/>
      <c r="E834" s="46" t="n"/>
      <c r="F834" s="46" t="n"/>
      <c r="G834" s="46" t="n"/>
    </row>
    <row r="835" ht="22.5" customHeight="1" s="23">
      <c r="A835" s="46" t="n"/>
      <c r="B835" s="46" t="n"/>
      <c r="C835" s="47" t="n"/>
      <c r="D835" s="46" t="n"/>
      <c r="E835" s="46" t="n"/>
      <c r="F835" s="46" t="n"/>
      <c r="G835" s="46" t="n"/>
    </row>
    <row r="836" ht="22.5" customHeight="1" s="23">
      <c r="A836" s="46" t="n"/>
      <c r="B836" s="46" t="n"/>
      <c r="C836" s="47" t="n"/>
      <c r="D836" s="46" t="n"/>
      <c r="E836" s="46" t="n"/>
      <c r="F836" s="46" t="n"/>
      <c r="G836" s="46" t="n"/>
    </row>
    <row r="837" ht="22.5" customHeight="1" s="23">
      <c r="A837" s="46" t="n"/>
      <c r="B837" s="46" t="n"/>
      <c r="C837" s="47" t="n"/>
      <c r="D837" s="46" t="n"/>
      <c r="E837" s="46" t="n"/>
      <c r="F837" s="46" t="n"/>
      <c r="G837" s="46" t="n"/>
    </row>
    <row r="838" ht="22.5" customHeight="1" s="23">
      <c r="A838" s="46" t="n"/>
      <c r="B838" s="46" t="n"/>
      <c r="C838" s="47" t="n"/>
      <c r="D838" s="46" t="n"/>
      <c r="E838" s="46" t="n"/>
      <c r="F838" s="46" t="n"/>
      <c r="G838" s="46" t="n"/>
    </row>
    <row r="839" ht="22.5" customHeight="1" s="23">
      <c r="A839" s="46" t="n"/>
      <c r="B839" s="46" t="n"/>
      <c r="C839" s="47" t="n"/>
      <c r="D839" s="46" t="n"/>
      <c r="E839" s="46" t="n"/>
      <c r="F839" s="46" t="n"/>
      <c r="G839" s="46" t="n"/>
    </row>
    <row r="840" ht="22.5" customHeight="1" s="23">
      <c r="A840" s="46" t="n"/>
      <c r="B840" s="46" t="n"/>
      <c r="C840" s="47" t="n"/>
      <c r="D840" s="46" t="n"/>
      <c r="E840" s="46" t="n"/>
      <c r="F840" s="46" t="n"/>
      <c r="G840" s="46" t="n"/>
    </row>
    <row r="841" ht="22.5" customHeight="1" s="23">
      <c r="A841" s="46" t="n"/>
      <c r="B841" s="46" t="n"/>
      <c r="C841" s="47" t="n"/>
      <c r="D841" s="46" t="n"/>
      <c r="E841" s="46" t="n"/>
      <c r="F841" s="46" t="n"/>
      <c r="G841" s="46" t="n"/>
    </row>
    <row r="842" ht="22.5" customHeight="1" s="23">
      <c r="A842" s="46" t="n"/>
      <c r="B842" s="46" t="n"/>
      <c r="C842" s="47" t="n"/>
      <c r="D842" s="46" t="n"/>
      <c r="E842" s="46" t="n"/>
      <c r="F842" s="46" t="n"/>
      <c r="G842" s="46" t="n"/>
    </row>
    <row r="843" ht="22.5" customHeight="1" s="23">
      <c r="A843" s="46" t="n"/>
      <c r="B843" s="46" t="n"/>
      <c r="C843" s="47" t="n"/>
      <c r="D843" s="46" t="n"/>
      <c r="E843" s="46" t="n"/>
      <c r="F843" s="46" t="n"/>
      <c r="G843" s="46" t="n"/>
    </row>
    <row r="844" ht="22.5" customHeight="1" s="23">
      <c r="A844" s="46" t="n"/>
      <c r="B844" s="46" t="n"/>
      <c r="C844" s="47" t="n"/>
      <c r="D844" s="46" t="n"/>
      <c r="E844" s="46" t="n"/>
      <c r="F844" s="46" t="n"/>
      <c r="G844" s="46" t="n"/>
    </row>
    <row r="845" ht="22.5" customHeight="1" s="23">
      <c r="A845" s="46" t="n"/>
      <c r="B845" s="46" t="n"/>
      <c r="C845" s="47" t="n"/>
      <c r="D845" s="46" t="n"/>
      <c r="E845" s="46" t="n"/>
      <c r="F845" s="46" t="n"/>
      <c r="G845" s="46" t="n"/>
    </row>
    <row r="846" ht="22.5" customHeight="1" s="23">
      <c r="A846" s="46" t="n"/>
      <c r="B846" s="46" t="n"/>
      <c r="C846" s="47" t="n"/>
      <c r="D846" s="46" t="n"/>
      <c r="E846" s="46" t="n"/>
      <c r="F846" s="46" t="n"/>
      <c r="G846" s="46" t="n"/>
    </row>
    <row r="847" ht="22.5" customHeight="1" s="23">
      <c r="A847" s="46" t="n"/>
      <c r="B847" s="46" t="n"/>
      <c r="C847" s="47" t="n"/>
      <c r="D847" s="46" t="n"/>
      <c r="E847" s="46" t="n"/>
      <c r="F847" s="46" t="n"/>
      <c r="G847" s="46" t="n"/>
    </row>
    <row r="848" ht="22.5" customHeight="1" s="23">
      <c r="A848" s="46" t="n"/>
      <c r="B848" s="46" t="n"/>
      <c r="C848" s="47" t="n"/>
      <c r="D848" s="46" t="n"/>
      <c r="E848" s="46" t="n"/>
      <c r="F848" s="46" t="n"/>
      <c r="G848" s="46" t="n"/>
    </row>
    <row r="849" ht="22.5" customHeight="1" s="23">
      <c r="A849" s="46" t="n"/>
      <c r="B849" s="46" t="n"/>
      <c r="C849" s="47" t="n"/>
      <c r="D849" s="46" t="n"/>
      <c r="E849" s="46" t="n"/>
      <c r="F849" s="46" t="n"/>
      <c r="G849" s="46" t="n"/>
    </row>
    <row r="850" ht="22.5" customHeight="1" s="23">
      <c r="A850" s="46" t="n"/>
      <c r="B850" s="46" t="n"/>
      <c r="C850" s="47" t="n"/>
      <c r="D850" s="46" t="n"/>
      <c r="E850" s="46" t="n"/>
      <c r="F850" s="46" t="n"/>
      <c r="G850" s="46" t="n"/>
    </row>
    <row r="851" ht="22.5" customHeight="1" s="23">
      <c r="A851" s="46" t="n"/>
      <c r="B851" s="46" t="n"/>
      <c r="C851" s="47" t="n"/>
      <c r="D851" s="46" t="n"/>
      <c r="E851" s="46" t="n"/>
      <c r="F851" s="46" t="n"/>
      <c r="G851" s="46" t="n"/>
    </row>
    <row r="852" ht="22.5" customHeight="1" s="23">
      <c r="A852" s="46" t="n"/>
      <c r="B852" s="46" t="n"/>
      <c r="C852" s="47" t="n"/>
      <c r="D852" s="46" t="n"/>
      <c r="E852" s="46" t="n"/>
      <c r="F852" s="46" t="n"/>
      <c r="G852" s="46" t="n"/>
    </row>
    <row r="853" ht="22.5" customHeight="1" s="23">
      <c r="A853" s="46" t="n"/>
      <c r="B853" s="46" t="n"/>
      <c r="C853" s="47" t="n"/>
      <c r="D853" s="46" t="n"/>
      <c r="E853" s="46" t="n"/>
      <c r="F853" s="46" t="n"/>
      <c r="G853" s="46" t="n"/>
    </row>
    <row r="854" ht="22.5" customHeight="1" s="23">
      <c r="A854" s="46" t="n"/>
      <c r="B854" s="46" t="n"/>
      <c r="C854" s="47" t="n"/>
      <c r="D854" s="46" t="n"/>
      <c r="E854" s="46" t="n"/>
      <c r="F854" s="46" t="n"/>
      <c r="G854" s="46" t="n"/>
    </row>
    <row r="855" ht="22.5" customHeight="1" s="23">
      <c r="A855" s="46" t="n"/>
      <c r="B855" s="46" t="n"/>
      <c r="C855" s="47" t="n"/>
      <c r="D855" s="46" t="n"/>
      <c r="E855" s="46" t="n"/>
      <c r="F855" s="46" t="n"/>
      <c r="G855" s="46" t="n"/>
    </row>
    <row r="856" ht="22.5" customHeight="1" s="23">
      <c r="A856" s="46" t="n"/>
      <c r="B856" s="46" t="n"/>
      <c r="C856" s="47" t="n"/>
      <c r="D856" s="46" t="n"/>
      <c r="E856" s="46" t="n"/>
      <c r="F856" s="46" t="n"/>
      <c r="G856" s="46" t="n"/>
    </row>
    <row r="857" ht="22.5" customHeight="1" s="23">
      <c r="A857" s="46" t="n"/>
      <c r="B857" s="46" t="n"/>
      <c r="C857" s="47" t="n"/>
      <c r="D857" s="46" t="n"/>
      <c r="E857" s="46" t="n"/>
      <c r="F857" s="46" t="n"/>
      <c r="G857" s="46" t="n"/>
    </row>
    <row r="858" ht="22.5" customHeight="1" s="23">
      <c r="A858" s="46" t="n"/>
      <c r="B858" s="46" t="n"/>
      <c r="C858" s="47" t="n"/>
      <c r="D858" s="46" t="n"/>
      <c r="E858" s="46" t="n"/>
      <c r="F858" s="46" t="n"/>
      <c r="G858" s="46" t="n"/>
    </row>
    <row r="859" ht="22.5" customHeight="1" s="23">
      <c r="A859" s="46" t="n"/>
      <c r="B859" s="46" t="n"/>
      <c r="C859" s="47" t="n"/>
      <c r="D859" s="46" t="n"/>
      <c r="E859" s="46" t="n"/>
      <c r="F859" s="46" t="n"/>
      <c r="G859" s="46" t="n"/>
    </row>
    <row r="860" ht="22.5" customHeight="1" s="23">
      <c r="A860" s="46" t="n"/>
      <c r="B860" s="46" t="n"/>
      <c r="C860" s="47" t="n"/>
      <c r="D860" s="46" t="n"/>
      <c r="E860" s="46" t="n"/>
      <c r="F860" s="46" t="n"/>
      <c r="G860" s="46" t="n"/>
    </row>
    <row r="861" ht="22.5" customHeight="1" s="23">
      <c r="A861" s="46" t="n"/>
      <c r="B861" s="46" t="n"/>
      <c r="C861" s="47" t="n"/>
      <c r="D861" s="46" t="n"/>
      <c r="E861" s="46" t="n"/>
      <c r="F861" s="46" t="n"/>
      <c r="G861" s="46" t="n"/>
    </row>
    <row r="862" ht="22.5" customHeight="1" s="23">
      <c r="A862" s="46" t="n"/>
      <c r="B862" s="46" t="n"/>
      <c r="C862" s="47" t="n"/>
      <c r="D862" s="46" t="n"/>
      <c r="E862" s="46" t="n"/>
      <c r="F862" s="46" t="n"/>
      <c r="G862" s="46" t="n"/>
    </row>
    <row r="863" ht="22.5" customHeight="1" s="23">
      <c r="A863" s="46" t="n"/>
      <c r="B863" s="46" t="n"/>
      <c r="C863" s="47" t="n"/>
      <c r="D863" s="46" t="n"/>
      <c r="E863" s="46" t="n"/>
      <c r="F863" s="46" t="n"/>
      <c r="G863" s="46" t="n"/>
    </row>
    <row r="864" ht="22.5" customHeight="1" s="23">
      <c r="A864" s="46" t="n"/>
      <c r="B864" s="46" t="n"/>
      <c r="C864" s="47" t="n"/>
      <c r="D864" s="46" t="n"/>
      <c r="E864" s="46" t="n"/>
      <c r="F864" s="46" t="n"/>
      <c r="G864" s="46" t="n"/>
    </row>
    <row r="865" ht="22.5" customHeight="1" s="23">
      <c r="A865" s="46" t="n"/>
      <c r="B865" s="46" t="n"/>
      <c r="C865" s="47" t="n"/>
      <c r="D865" s="46" t="n"/>
      <c r="E865" s="46" t="n"/>
      <c r="F865" s="46" t="n"/>
      <c r="G865" s="46" t="n"/>
    </row>
    <row r="866" ht="22.5" customHeight="1" s="23">
      <c r="A866" s="46" t="n"/>
      <c r="B866" s="46" t="n"/>
      <c r="C866" s="47" t="n"/>
      <c r="D866" s="46" t="n"/>
      <c r="E866" s="46" t="n"/>
      <c r="F866" s="46" t="n"/>
      <c r="G866" s="46" t="n"/>
    </row>
    <row r="867" ht="22.5" customHeight="1" s="23">
      <c r="A867" s="46" t="n"/>
      <c r="B867" s="46" t="n"/>
      <c r="C867" s="47" t="n"/>
      <c r="D867" s="46" t="n"/>
      <c r="E867" s="46" t="n"/>
      <c r="F867" s="46" t="n"/>
      <c r="G867" s="46" t="n"/>
    </row>
    <row r="868" ht="22.5" customHeight="1" s="23">
      <c r="A868" s="46" t="n"/>
      <c r="B868" s="46" t="n"/>
      <c r="C868" s="47" t="n"/>
      <c r="D868" s="46" t="n"/>
      <c r="E868" s="46" t="n"/>
      <c r="F868" s="46" t="n"/>
      <c r="G868" s="46" t="n"/>
    </row>
    <row r="869" ht="22.5" customHeight="1" s="23">
      <c r="A869" s="46" t="n"/>
      <c r="B869" s="46" t="n"/>
      <c r="C869" s="47" t="n"/>
      <c r="D869" s="46" t="n"/>
      <c r="E869" s="46" t="n"/>
      <c r="F869" s="46" t="n"/>
      <c r="G869" s="46" t="n"/>
    </row>
    <row r="870" ht="22.5" customHeight="1" s="23">
      <c r="A870" s="46" t="n"/>
      <c r="B870" s="46" t="n"/>
      <c r="C870" s="47" t="n"/>
      <c r="D870" s="46" t="n"/>
      <c r="E870" s="46" t="n"/>
      <c r="F870" s="46" t="n"/>
      <c r="G870" s="46" t="n"/>
    </row>
    <row r="871" ht="22.5" customHeight="1" s="23">
      <c r="A871" s="46" t="n"/>
      <c r="B871" s="46" t="n"/>
      <c r="C871" s="47" t="n"/>
      <c r="D871" s="46" t="n"/>
      <c r="E871" s="46" t="n"/>
      <c r="F871" s="46" t="n"/>
      <c r="G871" s="46" t="n"/>
    </row>
    <row r="872" ht="22.5" customHeight="1" s="23">
      <c r="A872" s="46" t="n"/>
      <c r="B872" s="46" t="n"/>
      <c r="C872" s="47" t="n"/>
      <c r="D872" s="46" t="n"/>
      <c r="E872" s="46" t="n"/>
      <c r="F872" s="46" t="n"/>
      <c r="G872" s="46" t="n"/>
    </row>
    <row r="873" ht="22.5" customHeight="1" s="23">
      <c r="A873" s="46" t="n"/>
      <c r="B873" s="46" t="n"/>
      <c r="C873" s="47" t="n"/>
      <c r="D873" s="46" t="n"/>
      <c r="E873" s="46" t="n"/>
      <c r="F873" s="46" t="n"/>
      <c r="G873" s="46" t="n"/>
    </row>
    <row r="874" ht="22.5" customHeight="1" s="23">
      <c r="A874" s="46" t="n"/>
      <c r="B874" s="46" t="n"/>
      <c r="C874" s="47" t="n"/>
      <c r="D874" s="46" t="n"/>
      <c r="E874" s="46" t="n"/>
      <c r="F874" s="46" t="n"/>
      <c r="G874" s="46" t="n"/>
    </row>
    <row r="875" ht="22.5" customHeight="1" s="23">
      <c r="A875" s="46" t="n"/>
      <c r="B875" s="46" t="n"/>
      <c r="C875" s="47" t="n"/>
      <c r="D875" s="46" t="n"/>
      <c r="E875" s="46" t="n"/>
      <c r="F875" s="46" t="n"/>
      <c r="G875" s="46" t="n"/>
    </row>
    <row r="876" ht="22.5" customHeight="1" s="23">
      <c r="A876" s="46" t="n"/>
      <c r="B876" s="46" t="n"/>
      <c r="C876" s="47" t="n"/>
      <c r="D876" s="46" t="n"/>
      <c r="E876" s="46" t="n"/>
      <c r="F876" s="46" t="n"/>
      <c r="G876" s="46" t="n"/>
    </row>
    <row r="877" ht="22.5" customHeight="1" s="23">
      <c r="A877" s="46" t="n"/>
      <c r="B877" s="46" t="n"/>
      <c r="C877" s="47" t="n"/>
      <c r="D877" s="46" t="n"/>
      <c r="E877" s="46" t="n"/>
      <c r="F877" s="46" t="n"/>
      <c r="G877" s="46" t="n"/>
    </row>
    <row r="878" ht="22.5" customHeight="1" s="23">
      <c r="A878" s="46" t="n"/>
      <c r="B878" s="46" t="n"/>
      <c r="C878" s="47" t="n"/>
      <c r="D878" s="46" t="n"/>
      <c r="E878" s="46" t="n"/>
      <c r="F878" s="46" t="n"/>
      <c r="G878" s="46" t="n"/>
    </row>
    <row r="879" ht="22.5" customHeight="1" s="23">
      <c r="A879" s="46" t="n"/>
      <c r="B879" s="46" t="n"/>
      <c r="C879" s="47" t="n"/>
      <c r="D879" s="46" t="n"/>
      <c r="E879" s="46" t="n"/>
      <c r="F879" s="46" t="n"/>
      <c r="G879" s="46" t="n"/>
    </row>
    <row r="880" ht="22.5" customHeight="1" s="23">
      <c r="A880" s="46" t="n"/>
      <c r="B880" s="46" t="n"/>
      <c r="C880" s="47" t="n"/>
      <c r="D880" s="46" t="n"/>
      <c r="E880" s="46" t="n"/>
      <c r="F880" s="46" t="n"/>
      <c r="G880" s="46" t="n"/>
    </row>
    <row r="881" ht="22.5" customHeight="1" s="23">
      <c r="A881" s="46" t="n"/>
      <c r="B881" s="46" t="n"/>
      <c r="C881" s="47" t="n"/>
      <c r="D881" s="46" t="n"/>
      <c r="E881" s="46" t="n"/>
      <c r="F881" s="46" t="n"/>
      <c r="G881" s="46" t="n"/>
    </row>
    <row r="882" ht="22.5" customHeight="1" s="23">
      <c r="A882" s="46" t="n"/>
      <c r="B882" s="46" t="n"/>
      <c r="C882" s="47" t="n"/>
      <c r="D882" s="46" t="n"/>
      <c r="E882" s="46" t="n"/>
      <c r="F882" s="46" t="n"/>
      <c r="G882" s="46" t="n"/>
    </row>
    <row r="883" ht="22.5" customHeight="1" s="23">
      <c r="A883" s="46" t="n"/>
      <c r="B883" s="46" t="n"/>
      <c r="C883" s="47" t="n"/>
      <c r="D883" s="46" t="n"/>
      <c r="E883" s="46" t="n"/>
      <c r="F883" s="46" t="n"/>
      <c r="G883" s="46" t="n"/>
    </row>
    <row r="884" ht="22.5" customHeight="1" s="23">
      <c r="A884" s="46" t="n"/>
      <c r="B884" s="46" t="n"/>
      <c r="C884" s="47" t="n"/>
      <c r="D884" s="46" t="n"/>
      <c r="E884" s="46" t="n"/>
      <c r="F884" s="46" t="n"/>
      <c r="G884" s="46" t="n"/>
    </row>
    <row r="885" ht="22.5" customHeight="1" s="23">
      <c r="A885" s="46" t="n"/>
      <c r="B885" s="46" t="n"/>
      <c r="C885" s="47" t="n"/>
      <c r="D885" s="46" t="n"/>
      <c r="E885" s="46" t="n"/>
      <c r="F885" s="46" t="n"/>
      <c r="G885" s="46" t="n"/>
    </row>
    <row r="886" ht="22.5" customHeight="1" s="23">
      <c r="A886" s="46" t="n"/>
      <c r="B886" s="46" t="n"/>
      <c r="C886" s="47" t="n"/>
      <c r="D886" s="46" t="n"/>
      <c r="E886" s="46" t="n"/>
      <c r="F886" s="46" t="n"/>
      <c r="G886" s="46" t="n"/>
    </row>
    <row r="887" ht="22.5" customHeight="1" s="23">
      <c r="A887" s="46" t="n"/>
      <c r="B887" s="46" t="n"/>
      <c r="C887" s="47" t="n"/>
      <c r="D887" s="46" t="n"/>
      <c r="E887" s="46" t="n"/>
      <c r="F887" s="46" t="n"/>
      <c r="G887" s="46" t="n"/>
    </row>
    <row r="888" ht="22.5" customHeight="1" s="23">
      <c r="A888" s="46" t="n"/>
      <c r="B888" s="46" t="n"/>
      <c r="C888" s="47" t="n"/>
      <c r="D888" s="46" t="n"/>
      <c r="E888" s="46" t="n"/>
      <c r="F888" s="46" t="n"/>
      <c r="G888" s="46" t="n"/>
    </row>
    <row r="889" ht="22.5" customHeight="1" s="23">
      <c r="A889" s="46" t="n"/>
      <c r="B889" s="46" t="n"/>
      <c r="C889" s="47" t="n"/>
      <c r="D889" s="46" t="n"/>
      <c r="E889" s="46" t="n"/>
      <c r="F889" s="46" t="n"/>
      <c r="G889" s="46" t="n"/>
    </row>
    <row r="890" ht="22.5" customHeight="1" s="23">
      <c r="A890" s="46" t="n"/>
      <c r="B890" s="46" t="n"/>
      <c r="C890" s="47" t="n"/>
      <c r="D890" s="46" t="n"/>
      <c r="E890" s="46" t="n"/>
      <c r="F890" s="46" t="n"/>
      <c r="G890" s="46" t="n"/>
    </row>
    <row r="891" ht="22.5" customHeight="1" s="23">
      <c r="A891" s="46" t="n"/>
      <c r="B891" s="46" t="n"/>
      <c r="C891" s="47" t="n"/>
      <c r="D891" s="46" t="n"/>
      <c r="E891" s="46" t="n"/>
      <c r="F891" s="46" t="n"/>
      <c r="G891" s="46" t="n"/>
    </row>
    <row r="892" ht="22.5" customHeight="1" s="23">
      <c r="A892" s="46" t="n"/>
      <c r="B892" s="46" t="n"/>
      <c r="C892" s="47" t="n"/>
      <c r="D892" s="46" t="n"/>
      <c r="E892" s="46" t="n"/>
      <c r="F892" s="46" t="n"/>
      <c r="G892" s="46" t="n"/>
    </row>
    <row r="893" ht="22.5" customHeight="1" s="23">
      <c r="A893" s="46" t="n"/>
      <c r="B893" s="46" t="n"/>
      <c r="C893" s="47" t="n"/>
      <c r="D893" s="46" t="n"/>
      <c r="E893" s="46" t="n"/>
      <c r="F893" s="46" t="n"/>
      <c r="G893" s="46" t="n"/>
    </row>
    <row r="894" ht="22.5" customHeight="1" s="23">
      <c r="A894" s="46" t="n"/>
      <c r="B894" s="46" t="n"/>
      <c r="C894" s="47" t="n"/>
      <c r="D894" s="46" t="n"/>
      <c r="E894" s="46" t="n"/>
      <c r="F894" s="46" t="n"/>
      <c r="G894" s="46" t="n"/>
    </row>
    <row r="895" ht="22.5" customHeight="1" s="23">
      <c r="A895" s="46" t="n"/>
      <c r="B895" s="46" t="n"/>
      <c r="C895" s="47" t="n"/>
      <c r="D895" s="46" t="n"/>
      <c r="E895" s="46" t="n"/>
      <c r="F895" s="46" t="n"/>
      <c r="G895" s="46" t="n"/>
    </row>
    <row r="896" ht="22.5" customHeight="1" s="23">
      <c r="A896" s="46" t="n"/>
      <c r="B896" s="46" t="n"/>
      <c r="C896" s="47" t="n"/>
      <c r="D896" s="46" t="n"/>
      <c r="E896" s="46" t="n"/>
      <c r="F896" s="46" t="n"/>
      <c r="G896" s="46" t="n"/>
    </row>
    <row r="897" ht="22.5" customHeight="1" s="23">
      <c r="A897" s="46" t="n"/>
      <c r="B897" s="46" t="n"/>
      <c r="C897" s="47" t="n"/>
      <c r="D897" s="46" t="n"/>
      <c r="E897" s="46" t="n"/>
      <c r="F897" s="46" t="n"/>
      <c r="G897" s="46" t="n"/>
    </row>
    <row r="898" ht="22.5" customHeight="1" s="23">
      <c r="A898" s="46" t="n"/>
      <c r="B898" s="46" t="n"/>
      <c r="C898" s="47" t="n"/>
      <c r="D898" s="46" t="n"/>
      <c r="E898" s="46" t="n"/>
      <c r="F898" s="46" t="n"/>
      <c r="G898" s="46" t="n"/>
    </row>
    <row r="899" ht="22.5" customHeight="1" s="23">
      <c r="A899" s="46" t="n"/>
      <c r="B899" s="46" t="n"/>
      <c r="C899" s="47" t="n"/>
      <c r="D899" s="46" t="n"/>
      <c r="E899" s="46" t="n"/>
      <c r="F899" s="46" t="n"/>
      <c r="G899" s="46" t="n"/>
    </row>
    <row r="900" ht="22.5" customHeight="1" s="23">
      <c r="A900" s="46" t="n"/>
      <c r="B900" s="46" t="n"/>
      <c r="C900" s="47" t="n"/>
      <c r="D900" s="46" t="n"/>
      <c r="E900" s="46" t="n"/>
      <c r="F900" s="46" t="n"/>
      <c r="G900" s="46" t="n"/>
    </row>
    <row r="901" ht="22.5" customHeight="1" s="23">
      <c r="A901" s="46" t="n"/>
      <c r="B901" s="46" t="n"/>
      <c r="C901" s="47" t="n"/>
      <c r="D901" s="46" t="n"/>
      <c r="E901" s="46" t="n"/>
      <c r="F901" s="46" t="n"/>
      <c r="G901" s="46" t="n"/>
    </row>
    <row r="902" ht="22.5" customHeight="1" s="23">
      <c r="A902" s="46" t="n"/>
      <c r="B902" s="46" t="n"/>
      <c r="C902" s="47" t="n"/>
      <c r="D902" s="46" t="n"/>
      <c r="E902" s="46" t="n"/>
      <c r="F902" s="46" t="n"/>
      <c r="G902" s="46" t="n"/>
    </row>
    <row r="903" ht="22.5" customHeight="1" s="23">
      <c r="A903" s="46" t="n"/>
      <c r="B903" s="46" t="n"/>
      <c r="C903" s="47" t="n"/>
      <c r="D903" s="46" t="n"/>
      <c r="E903" s="46" t="n"/>
      <c r="F903" s="46" t="n"/>
      <c r="G903" s="46" t="n"/>
    </row>
    <row r="904" ht="22.5" customHeight="1" s="23">
      <c r="A904" s="46" t="n"/>
      <c r="B904" s="46" t="n"/>
      <c r="C904" s="47" t="n"/>
      <c r="D904" s="46" t="n"/>
      <c r="E904" s="46" t="n"/>
      <c r="F904" s="46" t="n"/>
      <c r="G904" s="46" t="n"/>
    </row>
    <row r="905" ht="22.5" customHeight="1" s="23">
      <c r="A905" s="46" t="n"/>
      <c r="B905" s="46" t="n"/>
      <c r="C905" s="47" t="n"/>
      <c r="D905" s="46" t="n"/>
      <c r="E905" s="46" t="n"/>
      <c r="F905" s="46" t="n"/>
      <c r="G905" s="46" t="n"/>
    </row>
    <row r="906" ht="22.5" customHeight="1" s="23">
      <c r="A906" s="46" t="n"/>
      <c r="B906" s="46" t="n"/>
      <c r="C906" s="47" t="n"/>
      <c r="D906" s="46" t="n"/>
      <c r="E906" s="46" t="n"/>
      <c r="F906" s="46" t="n"/>
      <c r="G906" s="46" t="n"/>
    </row>
    <row r="907" ht="22.5" customHeight="1" s="23">
      <c r="A907" s="46" t="n"/>
      <c r="B907" s="46" t="n"/>
      <c r="C907" s="47" t="n"/>
      <c r="D907" s="46" t="n"/>
      <c r="E907" s="46" t="n"/>
      <c r="F907" s="46" t="n"/>
      <c r="G907" s="46" t="n"/>
    </row>
    <row r="908" ht="22.5" customHeight="1" s="23">
      <c r="A908" s="46" t="n"/>
      <c r="B908" s="46" t="n"/>
      <c r="C908" s="47" t="n"/>
      <c r="D908" s="46" t="n"/>
      <c r="E908" s="46" t="n"/>
      <c r="F908" s="46" t="n"/>
      <c r="G908" s="46" t="n"/>
    </row>
    <row r="909" ht="22.5" customHeight="1" s="23">
      <c r="A909" s="46" t="n"/>
      <c r="B909" s="46" t="n"/>
      <c r="C909" s="47" t="n"/>
      <c r="D909" s="46" t="n"/>
      <c r="E909" s="46" t="n"/>
      <c r="F909" s="46" t="n"/>
      <c r="G909" s="46" t="n"/>
    </row>
    <row r="910" ht="22.5" customHeight="1" s="23">
      <c r="A910" s="46" t="n"/>
      <c r="B910" s="46" t="n"/>
      <c r="C910" s="47" t="n"/>
      <c r="D910" s="46" t="n"/>
      <c r="E910" s="46" t="n"/>
      <c r="F910" s="46" t="n"/>
      <c r="G910" s="46" t="n"/>
    </row>
    <row r="911" ht="22.5" customHeight="1" s="23">
      <c r="A911" s="46" t="n"/>
      <c r="B911" s="46" t="n"/>
      <c r="C911" s="47" t="n"/>
      <c r="D911" s="46" t="n"/>
      <c r="E911" s="46" t="n"/>
      <c r="F911" s="46" t="n"/>
      <c r="G911" s="46" t="n"/>
    </row>
    <row r="912" ht="22.5" customHeight="1" s="23">
      <c r="A912" s="46" t="n"/>
      <c r="B912" s="46" t="n"/>
      <c r="C912" s="47" t="n"/>
      <c r="D912" s="46" t="n"/>
      <c r="E912" s="46" t="n"/>
      <c r="F912" s="46" t="n"/>
      <c r="G912" s="46" t="n"/>
    </row>
    <row r="913" ht="22.5" customHeight="1" s="23">
      <c r="A913" s="46" t="n"/>
      <c r="B913" s="46" t="n"/>
      <c r="C913" s="47" t="n"/>
      <c r="D913" s="46" t="n"/>
      <c r="E913" s="46" t="n"/>
      <c r="F913" s="46" t="n"/>
      <c r="G913" s="46" t="n"/>
    </row>
    <row r="914" ht="22.5" customHeight="1" s="23">
      <c r="A914" s="46" t="n"/>
      <c r="B914" s="46" t="n"/>
      <c r="C914" s="47" t="n"/>
      <c r="D914" s="46" t="n"/>
      <c r="E914" s="46" t="n"/>
      <c r="F914" s="46" t="n"/>
      <c r="G914" s="46" t="n"/>
    </row>
    <row r="915" ht="22.5" customHeight="1" s="23">
      <c r="A915" s="46" t="n"/>
      <c r="B915" s="46" t="n"/>
      <c r="C915" s="47" t="n"/>
      <c r="D915" s="46" t="n"/>
      <c r="E915" s="46" t="n"/>
      <c r="F915" s="46" t="n"/>
      <c r="G915" s="46" t="n"/>
    </row>
    <row r="916" ht="22.5" customHeight="1" s="23">
      <c r="A916" s="46" t="n"/>
      <c r="B916" s="46" t="n"/>
      <c r="C916" s="47" t="n"/>
      <c r="D916" s="46" t="n"/>
      <c r="E916" s="46" t="n"/>
      <c r="F916" s="46" t="n"/>
      <c r="G916" s="46" t="n"/>
    </row>
    <row r="917" ht="22.5" customHeight="1" s="23">
      <c r="A917" s="46" t="n"/>
      <c r="B917" s="46" t="n"/>
      <c r="C917" s="47" t="n"/>
      <c r="D917" s="46" t="n"/>
      <c r="E917" s="46" t="n"/>
      <c r="F917" s="46" t="n"/>
      <c r="G917" s="46" t="n"/>
    </row>
    <row r="918" ht="22.5" customHeight="1" s="23">
      <c r="A918" s="46" t="n"/>
      <c r="B918" s="46" t="n"/>
      <c r="C918" s="47" t="n"/>
      <c r="D918" s="46" t="n"/>
      <c r="E918" s="46" t="n"/>
      <c r="F918" s="46" t="n"/>
      <c r="G918" s="46" t="n"/>
    </row>
    <row r="919" ht="22.5" customHeight="1" s="23">
      <c r="A919" s="46" t="n"/>
      <c r="B919" s="46" t="n"/>
      <c r="C919" s="47" t="n"/>
      <c r="D919" s="46" t="n"/>
      <c r="E919" s="46" t="n"/>
      <c r="F919" s="46" t="n"/>
      <c r="G919" s="46" t="n"/>
    </row>
    <row r="920" ht="22.5" customHeight="1" s="23">
      <c r="A920" s="46" t="n"/>
      <c r="B920" s="46" t="n"/>
      <c r="C920" s="47" t="n"/>
      <c r="D920" s="46" t="n"/>
      <c r="E920" s="46" t="n"/>
      <c r="F920" s="46" t="n"/>
      <c r="G920" s="46" t="n"/>
    </row>
    <row r="921" ht="22.5" customHeight="1" s="23">
      <c r="A921" s="46" t="n"/>
      <c r="B921" s="46" t="n"/>
      <c r="C921" s="47" t="n"/>
      <c r="D921" s="46" t="n"/>
      <c r="E921" s="46" t="n"/>
      <c r="F921" s="46" t="n"/>
      <c r="G921" s="46" t="n"/>
    </row>
    <row r="922" ht="22.5" customHeight="1" s="23">
      <c r="A922" s="46" t="n"/>
      <c r="B922" s="46" t="n"/>
      <c r="C922" s="47" t="n"/>
      <c r="D922" s="46" t="n"/>
      <c r="E922" s="46" t="n"/>
      <c r="F922" s="46" t="n"/>
      <c r="G922" s="46" t="n"/>
    </row>
    <row r="923" ht="22.5" customHeight="1" s="23">
      <c r="A923" s="46" t="n"/>
      <c r="B923" s="46" t="n"/>
      <c r="C923" s="47" t="n"/>
      <c r="D923" s="46" t="n"/>
      <c r="E923" s="46" t="n"/>
      <c r="F923" s="46" t="n"/>
      <c r="G923" s="46" t="n"/>
    </row>
    <row r="924" ht="22.5" customHeight="1" s="23">
      <c r="A924" s="46" t="n"/>
      <c r="B924" s="46" t="n"/>
      <c r="C924" s="47" t="n"/>
      <c r="D924" s="46" t="n"/>
      <c r="E924" s="46" t="n"/>
      <c r="F924" s="46" t="n"/>
      <c r="G924" s="46" t="n"/>
    </row>
    <row r="925" ht="22.5" customHeight="1" s="23">
      <c r="A925" s="46" t="n"/>
      <c r="B925" s="46" t="n"/>
      <c r="C925" s="47" t="n"/>
      <c r="D925" s="46" t="n"/>
      <c r="E925" s="46" t="n"/>
      <c r="F925" s="46" t="n"/>
      <c r="G925" s="46" t="n"/>
    </row>
    <row r="926" ht="22.5" customHeight="1" s="23">
      <c r="A926" s="46" t="n"/>
      <c r="B926" s="46" t="n"/>
      <c r="C926" s="47" t="n"/>
      <c r="D926" s="46" t="n"/>
      <c r="E926" s="46" t="n"/>
      <c r="F926" s="46" t="n"/>
      <c r="G926" s="46" t="n"/>
    </row>
    <row r="927" ht="22.5" customHeight="1" s="23">
      <c r="A927" s="46" t="n"/>
      <c r="B927" s="46" t="n"/>
      <c r="C927" s="47" t="n"/>
      <c r="D927" s="46" t="n"/>
      <c r="E927" s="46" t="n"/>
      <c r="F927" s="46" t="n"/>
      <c r="G927" s="46" t="n"/>
    </row>
    <row r="928" ht="22.5" customHeight="1" s="23">
      <c r="A928" s="46" t="n"/>
      <c r="B928" s="46" t="n"/>
      <c r="C928" s="47" t="n"/>
      <c r="D928" s="46" t="n"/>
      <c r="E928" s="46" t="n"/>
      <c r="F928" s="46" t="n"/>
      <c r="G928" s="46" t="n"/>
    </row>
    <row r="929" ht="22.5" customHeight="1" s="23">
      <c r="A929" s="46" t="n"/>
      <c r="B929" s="46" t="n"/>
      <c r="C929" s="47" t="n"/>
      <c r="D929" s="46" t="n"/>
      <c r="E929" s="46" t="n"/>
      <c r="F929" s="46" t="n"/>
      <c r="G929" s="46" t="n"/>
    </row>
    <row r="930" ht="22.5" customHeight="1" s="23">
      <c r="A930" s="46" t="n"/>
      <c r="B930" s="46" t="n"/>
      <c r="C930" s="47" t="n"/>
      <c r="D930" s="46" t="n"/>
      <c r="E930" s="46" t="n"/>
      <c r="F930" s="46" t="n"/>
      <c r="G930" s="46" t="n"/>
    </row>
    <row r="931" ht="22.5" customHeight="1" s="23">
      <c r="A931" s="46" t="n"/>
      <c r="B931" s="46" t="n"/>
      <c r="C931" s="47" t="n"/>
      <c r="D931" s="46" t="n"/>
      <c r="E931" s="46" t="n"/>
      <c r="F931" s="46" t="n"/>
      <c r="G931" s="46" t="n"/>
    </row>
    <row r="932" ht="22.5" customHeight="1" s="23">
      <c r="A932" s="46" t="n"/>
      <c r="B932" s="46" t="n"/>
      <c r="C932" s="47" t="n"/>
      <c r="D932" s="46" t="n"/>
      <c r="E932" s="46" t="n"/>
      <c r="F932" s="46" t="n"/>
      <c r="G932" s="46" t="n"/>
    </row>
    <row r="933" ht="22.5" customHeight="1" s="23">
      <c r="A933" s="46" t="n"/>
      <c r="B933" s="46" t="n"/>
      <c r="C933" s="47" t="n"/>
      <c r="D933" s="46" t="n"/>
      <c r="E933" s="46" t="n"/>
      <c r="F933" s="46" t="n"/>
      <c r="G933" s="46" t="n"/>
    </row>
    <row r="934" ht="22.5" customHeight="1" s="23">
      <c r="A934" s="46" t="n"/>
      <c r="B934" s="46" t="n"/>
      <c r="C934" s="47" t="n"/>
      <c r="D934" s="46" t="n"/>
      <c r="E934" s="46" t="n"/>
      <c r="F934" s="46" t="n"/>
      <c r="G934" s="46" t="n"/>
    </row>
    <row r="935" ht="22.5" customHeight="1" s="23">
      <c r="A935" s="46" t="n"/>
      <c r="B935" s="46" t="n"/>
      <c r="C935" s="47" t="n"/>
      <c r="D935" s="46" t="n"/>
      <c r="E935" s="46" t="n"/>
      <c r="F935" s="46" t="n"/>
      <c r="G935" s="46" t="n"/>
    </row>
    <row r="936" ht="22.5" customHeight="1" s="23">
      <c r="A936" s="46" t="n"/>
      <c r="B936" s="46" t="n"/>
      <c r="C936" s="47" t="n"/>
      <c r="D936" s="46" t="n"/>
      <c r="E936" s="46" t="n"/>
      <c r="F936" s="46" t="n"/>
      <c r="G936" s="46" t="n"/>
    </row>
    <row r="937" ht="22.5" customHeight="1" s="23">
      <c r="A937" s="46" t="n"/>
      <c r="B937" s="46" t="n"/>
      <c r="C937" s="47" t="n"/>
      <c r="D937" s="46" t="n"/>
      <c r="E937" s="46" t="n"/>
      <c r="F937" s="46" t="n"/>
      <c r="G937" s="46" t="n"/>
    </row>
    <row r="938" ht="22.5" customHeight="1" s="23">
      <c r="A938" s="46" t="n"/>
      <c r="B938" s="46" t="n"/>
      <c r="C938" s="47" t="n"/>
      <c r="D938" s="46" t="n"/>
      <c r="E938" s="46" t="n"/>
      <c r="F938" s="46" t="n"/>
      <c r="G938" s="46" t="n"/>
    </row>
    <row r="939" ht="22.5" customHeight="1" s="23">
      <c r="A939" s="46" t="n"/>
      <c r="B939" s="46" t="n"/>
      <c r="C939" s="47" t="n"/>
      <c r="D939" s="46" t="n"/>
      <c r="E939" s="46" t="n"/>
      <c r="F939" s="46" t="n"/>
      <c r="G939" s="46" t="n"/>
    </row>
    <row r="940" ht="22.5" customHeight="1" s="23">
      <c r="A940" s="46" t="n"/>
      <c r="B940" s="46" t="n"/>
      <c r="C940" s="47" t="n"/>
      <c r="D940" s="46" t="n"/>
      <c r="E940" s="46" t="n"/>
      <c r="F940" s="46" t="n"/>
      <c r="G940" s="46" t="n"/>
    </row>
    <row r="941" ht="22.5" customHeight="1" s="23">
      <c r="A941" s="46" t="n"/>
      <c r="B941" s="46" t="n"/>
      <c r="C941" s="47" t="n"/>
      <c r="D941" s="46" t="n"/>
      <c r="E941" s="46" t="n"/>
      <c r="F941" s="46" t="n"/>
      <c r="G941" s="46" t="n"/>
    </row>
    <row r="942" ht="22.5" customHeight="1" s="23">
      <c r="A942" s="46" t="n"/>
      <c r="B942" s="46" t="n"/>
      <c r="C942" s="47" t="n"/>
      <c r="D942" s="46" t="n"/>
      <c r="E942" s="46" t="n"/>
      <c r="F942" s="46" t="n"/>
      <c r="G942" s="46" t="n"/>
    </row>
    <row r="943" ht="22.5" customHeight="1" s="23">
      <c r="A943" s="46" t="n"/>
      <c r="B943" s="46" t="n"/>
      <c r="C943" s="47" t="n"/>
      <c r="D943" s="46" t="n"/>
      <c r="E943" s="46" t="n"/>
      <c r="F943" s="46" t="n"/>
      <c r="G943" s="46" t="n"/>
    </row>
    <row r="944" ht="22.5" customHeight="1" s="23">
      <c r="A944" s="46" t="n"/>
      <c r="B944" s="46" t="n"/>
      <c r="C944" s="47" t="n"/>
      <c r="D944" s="46" t="n"/>
      <c r="E944" s="46" t="n"/>
      <c r="F944" s="46" t="n"/>
      <c r="G944" s="46" t="n"/>
    </row>
    <row r="945" ht="22.5" customHeight="1" s="23">
      <c r="A945" s="46" t="n"/>
      <c r="B945" s="46" t="n"/>
      <c r="C945" s="47" t="n"/>
      <c r="D945" s="46" t="n"/>
      <c r="E945" s="46" t="n"/>
      <c r="F945" s="46" t="n"/>
      <c r="G945" s="46" t="n"/>
    </row>
    <row r="946" ht="22.5" customHeight="1" s="23">
      <c r="A946" s="46" t="n"/>
      <c r="B946" s="46" t="n"/>
      <c r="C946" s="47" t="n"/>
      <c r="D946" s="46" t="n"/>
      <c r="E946" s="46" t="n"/>
      <c r="F946" s="46" t="n"/>
      <c r="G946" s="46" t="n"/>
    </row>
    <row r="947" ht="22.5" customHeight="1" s="23">
      <c r="A947" s="46" t="n"/>
      <c r="B947" s="46" t="n"/>
      <c r="C947" s="47" t="n"/>
      <c r="D947" s="46" t="n"/>
      <c r="E947" s="46" t="n"/>
      <c r="F947" s="46" t="n"/>
      <c r="G947" s="46" t="n"/>
    </row>
    <row r="948" ht="22.5" customHeight="1" s="23">
      <c r="A948" s="46" t="n"/>
      <c r="B948" s="46" t="n"/>
      <c r="C948" s="47" t="n"/>
      <c r="D948" s="46" t="n"/>
      <c r="E948" s="46" t="n"/>
      <c r="F948" s="46" t="n"/>
      <c r="G948" s="46" t="n"/>
    </row>
    <row r="949" ht="22.5" customHeight="1" s="23">
      <c r="A949" s="46" t="n"/>
      <c r="B949" s="46" t="n"/>
      <c r="C949" s="47" t="n"/>
      <c r="D949" s="46" t="n"/>
      <c r="E949" s="46" t="n"/>
      <c r="F949" s="46" t="n"/>
      <c r="G949" s="46" t="n"/>
    </row>
    <row r="950" ht="22.5" customHeight="1" s="23">
      <c r="A950" s="46" t="n"/>
      <c r="B950" s="46" t="n"/>
      <c r="C950" s="47" t="n"/>
      <c r="D950" s="46" t="n"/>
      <c r="E950" s="46" t="n"/>
      <c r="F950" s="46" t="n"/>
      <c r="G950" s="46" t="n"/>
    </row>
    <row r="951" ht="22.5" customHeight="1" s="23">
      <c r="A951" s="46" t="n"/>
      <c r="B951" s="46" t="n"/>
      <c r="C951" s="47" t="n"/>
      <c r="D951" s="46" t="n"/>
      <c r="E951" s="46" t="n"/>
      <c r="F951" s="46" t="n"/>
      <c r="G951" s="46" t="n"/>
    </row>
    <row r="952" ht="22.5" customHeight="1" s="23">
      <c r="A952" s="46" t="n"/>
      <c r="B952" s="46" t="n"/>
      <c r="C952" s="47" t="n"/>
      <c r="D952" s="46" t="n"/>
      <c r="E952" s="46" t="n"/>
      <c r="F952" s="46" t="n"/>
      <c r="G952" s="46" t="n"/>
    </row>
    <row r="953" ht="22.5" customHeight="1" s="23">
      <c r="A953" s="46" t="n"/>
      <c r="B953" s="46" t="n"/>
      <c r="C953" s="47" t="n"/>
      <c r="D953" s="46" t="n"/>
      <c r="E953" s="46" t="n"/>
      <c r="F953" s="46" t="n"/>
      <c r="G953" s="46" t="n"/>
    </row>
    <row r="954" ht="22.5" customHeight="1" s="23">
      <c r="A954" s="46" t="n"/>
      <c r="B954" s="46" t="n"/>
      <c r="C954" s="47" t="n"/>
      <c r="D954" s="46" t="n"/>
      <c r="E954" s="46" t="n"/>
      <c r="F954" s="46" t="n"/>
      <c r="G954" s="46" t="n"/>
    </row>
    <row r="955" ht="22.5" customHeight="1" s="23">
      <c r="A955" s="46" t="n"/>
      <c r="B955" s="46" t="n"/>
      <c r="C955" s="47" t="n"/>
      <c r="D955" s="46" t="n"/>
      <c r="E955" s="46" t="n"/>
      <c r="F955" s="46" t="n"/>
      <c r="G955" s="46" t="n"/>
    </row>
    <row r="956" ht="22.5" customHeight="1" s="23">
      <c r="A956" s="46" t="n"/>
      <c r="B956" s="46" t="n"/>
      <c r="C956" s="47" t="n"/>
      <c r="D956" s="46" t="n"/>
      <c r="E956" s="46" t="n"/>
      <c r="F956" s="46" t="n"/>
      <c r="G956" s="46" t="n"/>
    </row>
    <row r="957" ht="22.5" customHeight="1" s="23">
      <c r="A957" s="46" t="n"/>
      <c r="B957" s="46" t="n"/>
      <c r="C957" s="47" t="n"/>
      <c r="D957" s="46" t="n"/>
      <c r="E957" s="46" t="n"/>
      <c r="F957" s="46" t="n"/>
      <c r="G957" s="46" t="n"/>
    </row>
    <row r="958" ht="22.5" customHeight="1" s="23">
      <c r="A958" s="46" t="n"/>
      <c r="B958" s="46" t="n"/>
      <c r="C958" s="47" t="n"/>
      <c r="D958" s="46" t="n"/>
      <c r="E958" s="46" t="n"/>
      <c r="F958" s="46" t="n"/>
      <c r="G958" s="46" t="n"/>
    </row>
    <row r="959" ht="22.5" customHeight="1" s="23">
      <c r="A959" s="46" t="n"/>
      <c r="B959" s="46" t="n"/>
      <c r="C959" s="47" t="n"/>
      <c r="D959" s="46" t="n"/>
      <c r="E959" s="46" t="n"/>
      <c r="F959" s="46" t="n"/>
      <c r="G959" s="46" t="n"/>
    </row>
    <row r="960" ht="22.5" customHeight="1" s="23">
      <c r="A960" s="46" t="n"/>
      <c r="B960" s="46" t="n"/>
      <c r="C960" s="47" t="n"/>
      <c r="D960" s="46" t="n"/>
      <c r="E960" s="46" t="n"/>
      <c r="F960" s="46" t="n"/>
      <c r="G960" s="46" t="n"/>
    </row>
    <row r="961" ht="22.5" customHeight="1" s="23">
      <c r="A961" s="46" t="n"/>
      <c r="B961" s="46" t="n"/>
      <c r="C961" s="47" t="n"/>
      <c r="D961" s="46" t="n"/>
      <c r="E961" s="46" t="n"/>
      <c r="F961" s="46" t="n"/>
      <c r="G961" s="46" t="n"/>
    </row>
    <row r="962" ht="22.5" customHeight="1" s="23">
      <c r="A962" s="46" t="n"/>
      <c r="B962" s="46" t="n"/>
      <c r="C962" s="47" t="n"/>
      <c r="D962" s="46" t="n"/>
      <c r="E962" s="46" t="n"/>
      <c r="F962" s="46" t="n"/>
      <c r="G962" s="46" t="n"/>
    </row>
    <row r="963" ht="22.5" customHeight="1" s="23">
      <c r="A963" s="46" t="n"/>
      <c r="B963" s="46" t="n"/>
      <c r="C963" s="47" t="n"/>
      <c r="D963" s="46" t="n"/>
      <c r="E963" s="46" t="n"/>
      <c r="F963" s="46" t="n"/>
      <c r="G963" s="46" t="n"/>
    </row>
    <row r="964" ht="22.5" customHeight="1" s="23">
      <c r="A964" s="46" t="n"/>
      <c r="B964" s="46" t="n"/>
      <c r="C964" s="47" t="n"/>
      <c r="D964" s="46" t="n"/>
      <c r="E964" s="46" t="n"/>
      <c r="F964" s="46" t="n"/>
      <c r="G964" s="46" t="n"/>
    </row>
    <row r="965" ht="22.5" customHeight="1" s="23">
      <c r="A965" s="46" t="n"/>
      <c r="B965" s="46" t="n"/>
      <c r="C965" s="47" t="n"/>
      <c r="D965" s="46" t="n"/>
      <c r="E965" s="46" t="n"/>
      <c r="F965" s="46" t="n"/>
      <c r="G965" s="46" t="n"/>
    </row>
    <row r="966" ht="22.5" customHeight="1" s="23">
      <c r="A966" s="46" t="n"/>
      <c r="B966" s="46" t="n"/>
      <c r="C966" s="47" t="n"/>
      <c r="D966" s="46" t="n"/>
      <c r="E966" s="46" t="n"/>
      <c r="F966" s="46" t="n"/>
      <c r="G966" s="46" t="n"/>
    </row>
    <row r="967" ht="22.5" customHeight="1" s="23">
      <c r="A967" s="46" t="n"/>
      <c r="B967" s="46" t="n"/>
      <c r="C967" s="47" t="n"/>
      <c r="D967" s="46" t="n"/>
      <c r="E967" s="46" t="n"/>
      <c r="F967" s="46" t="n"/>
      <c r="G967" s="46" t="n"/>
    </row>
    <row r="968" ht="22.5" customHeight="1" s="23">
      <c r="A968" s="46" t="n"/>
      <c r="B968" s="46" t="n"/>
      <c r="C968" s="47" t="n"/>
      <c r="D968" s="46" t="n"/>
      <c r="E968" s="46" t="n"/>
      <c r="F968" s="46" t="n"/>
      <c r="G968" s="46" t="n"/>
    </row>
    <row r="969" ht="22.5" customHeight="1" s="23">
      <c r="A969" s="46" t="n"/>
      <c r="B969" s="46" t="n"/>
      <c r="C969" s="47" t="n"/>
      <c r="D969" s="46" t="n"/>
      <c r="E969" s="46" t="n"/>
      <c r="F969" s="46" t="n"/>
      <c r="G969" s="46" t="n"/>
    </row>
    <row r="970" ht="22.5" customHeight="1" s="23">
      <c r="A970" s="46" t="n"/>
      <c r="B970" s="46" t="n"/>
      <c r="C970" s="47" t="n"/>
      <c r="D970" s="46" t="n"/>
      <c r="E970" s="46" t="n"/>
      <c r="F970" s="46" t="n"/>
      <c r="G970" s="46" t="n"/>
    </row>
    <row r="971" ht="22.5" customHeight="1" s="23">
      <c r="A971" s="46" t="n"/>
      <c r="B971" s="46" t="n"/>
      <c r="C971" s="47" t="n"/>
      <c r="D971" s="46" t="n"/>
      <c r="E971" s="46" t="n"/>
      <c r="F971" s="46" t="n"/>
      <c r="G971" s="46" t="n"/>
    </row>
    <row r="972" ht="22.5" customHeight="1" s="23">
      <c r="A972" s="46" t="n"/>
      <c r="B972" s="46" t="n"/>
      <c r="C972" s="47" t="n"/>
      <c r="D972" s="46" t="n"/>
      <c r="E972" s="46" t="n"/>
      <c r="F972" s="46" t="n"/>
      <c r="G972" s="46" t="n"/>
    </row>
    <row r="973" ht="22.5" customHeight="1" s="23">
      <c r="A973" s="46" t="n"/>
      <c r="B973" s="46" t="n"/>
      <c r="C973" s="47" t="n"/>
      <c r="D973" s="46" t="n"/>
      <c r="E973" s="46" t="n"/>
      <c r="F973" s="46" t="n"/>
      <c r="G973" s="46" t="n"/>
    </row>
    <row r="974" ht="22.5" customHeight="1" s="23">
      <c r="A974" s="46" t="n"/>
      <c r="B974" s="46" t="n"/>
      <c r="C974" s="47" t="n"/>
      <c r="D974" s="46" t="n"/>
      <c r="E974" s="46" t="n"/>
      <c r="F974" s="46" t="n"/>
      <c r="G974" s="46" t="n"/>
    </row>
    <row r="975" ht="22.5" customHeight="1" s="23">
      <c r="A975" s="46" t="n"/>
      <c r="B975" s="46" t="n"/>
      <c r="C975" s="47" t="n"/>
      <c r="D975" s="46" t="n"/>
      <c r="E975" s="46" t="n"/>
      <c r="F975" s="46" t="n"/>
      <c r="G975" s="46" t="n"/>
    </row>
    <row r="976" ht="22.5" customHeight="1" s="23">
      <c r="A976" s="46" t="n"/>
      <c r="B976" s="46" t="n"/>
      <c r="C976" s="47" t="n"/>
      <c r="D976" s="46" t="n"/>
      <c r="E976" s="46" t="n"/>
      <c r="F976" s="46" t="n"/>
      <c r="G976" s="46" t="n"/>
    </row>
    <row r="977" ht="22.5" customHeight="1" s="23">
      <c r="A977" s="46" t="n"/>
      <c r="B977" s="46" t="n"/>
      <c r="C977" s="47" t="n"/>
      <c r="D977" s="46" t="n"/>
      <c r="E977" s="46" t="n"/>
      <c r="F977" s="46" t="n"/>
      <c r="G977" s="46" t="n"/>
    </row>
    <row r="978" ht="22.5" customHeight="1" s="23">
      <c r="A978" s="46" t="n"/>
      <c r="B978" s="46" t="n"/>
      <c r="C978" s="47" t="n"/>
      <c r="D978" s="46" t="n"/>
      <c r="E978" s="46" t="n"/>
      <c r="F978" s="46" t="n"/>
      <c r="G978" s="46" t="n"/>
    </row>
    <row r="979" ht="22.5" customHeight="1" s="23">
      <c r="A979" s="46" t="n"/>
      <c r="B979" s="46" t="n"/>
      <c r="C979" s="47" t="n"/>
      <c r="D979" s="46" t="n"/>
      <c r="E979" s="46" t="n"/>
      <c r="F979" s="46" t="n"/>
      <c r="G979" s="46" t="n"/>
    </row>
    <row r="980" ht="22.5" customHeight="1" s="23">
      <c r="A980" s="46" t="n"/>
      <c r="B980" s="46" t="n"/>
      <c r="C980" s="47" t="n"/>
      <c r="D980" s="46" t="n"/>
      <c r="E980" s="46" t="n"/>
      <c r="F980" s="46" t="n"/>
      <c r="G980" s="46" t="n"/>
    </row>
    <row r="981" ht="22.5" customHeight="1" s="23">
      <c r="A981" s="46" t="n"/>
      <c r="B981" s="46" t="n"/>
      <c r="C981" s="47" t="n"/>
      <c r="D981" s="46" t="n"/>
      <c r="E981" s="46" t="n"/>
      <c r="F981" s="46" t="n"/>
      <c r="G981" s="46" t="n"/>
    </row>
    <row r="982" ht="22.5" customHeight="1" s="23">
      <c r="A982" s="46" t="n"/>
      <c r="B982" s="46" t="n"/>
      <c r="C982" s="47" t="n"/>
      <c r="D982" s="46" t="n"/>
      <c r="E982" s="46" t="n"/>
      <c r="F982" s="46" t="n"/>
      <c r="G982" s="46" t="n"/>
    </row>
    <row r="983" ht="22.5" customHeight="1" s="23">
      <c r="A983" s="46" t="n"/>
      <c r="B983" s="46" t="n"/>
      <c r="C983" s="47" t="n"/>
      <c r="D983" s="46" t="n"/>
      <c r="E983" s="46" t="n"/>
      <c r="F983" s="46" t="n"/>
      <c r="G983" s="46" t="n"/>
    </row>
    <row r="984" ht="22.5" customHeight="1" s="23">
      <c r="A984" s="46" t="n"/>
      <c r="B984" s="46" t="n"/>
      <c r="C984" s="47" t="n"/>
      <c r="D984" s="46" t="n"/>
      <c r="E984" s="46" t="n"/>
      <c r="F984" s="46" t="n"/>
      <c r="G984" s="46" t="n"/>
    </row>
    <row r="985" ht="22.5" customHeight="1" s="23">
      <c r="A985" s="46" t="n"/>
      <c r="B985" s="46" t="n"/>
      <c r="C985" s="47" t="n"/>
      <c r="D985" s="46" t="n"/>
      <c r="E985" s="46" t="n"/>
      <c r="F985" s="46" t="n"/>
      <c r="G985" s="46" t="n"/>
    </row>
    <row r="986" ht="22.5" customHeight="1" s="23">
      <c r="A986" s="46" t="n"/>
      <c r="B986" s="46" t="n"/>
      <c r="C986" s="47" t="n"/>
      <c r="D986" s="46" t="n"/>
      <c r="E986" s="46" t="n"/>
      <c r="F986" s="46" t="n"/>
      <c r="G986" s="46" t="n"/>
    </row>
    <row r="987" ht="22.5" customHeight="1" s="23">
      <c r="A987" s="46" t="n"/>
      <c r="B987" s="46" t="n"/>
      <c r="C987" s="47" t="n"/>
      <c r="D987" s="46" t="n"/>
      <c r="E987" s="46" t="n"/>
      <c r="F987" s="46" t="n"/>
      <c r="G987" s="46" t="n"/>
    </row>
    <row r="988" ht="22.5" customHeight="1" s="23">
      <c r="A988" s="46" t="n"/>
      <c r="B988" s="46" t="n"/>
      <c r="C988" s="47" t="n"/>
      <c r="D988" s="46" t="n"/>
      <c r="E988" s="46" t="n"/>
      <c r="F988" s="46" t="n"/>
      <c r="G988" s="46" t="n"/>
    </row>
    <row r="989" ht="22.5" customHeight="1" s="23">
      <c r="A989" s="46" t="n"/>
      <c r="B989" s="46" t="n"/>
      <c r="C989" s="47" t="n"/>
      <c r="D989" s="46" t="n"/>
      <c r="E989" s="46" t="n"/>
      <c r="F989" s="46" t="n"/>
      <c r="G989" s="46" t="n"/>
    </row>
    <row r="990" ht="22.5" customHeight="1" s="23">
      <c r="A990" s="46" t="n"/>
      <c r="B990" s="46" t="n"/>
      <c r="C990" s="47" t="n"/>
      <c r="D990" s="46" t="n"/>
      <c r="E990" s="46" t="n"/>
      <c r="F990" s="46" t="n"/>
      <c r="G990" s="46" t="n"/>
    </row>
    <row r="991" ht="22.5" customHeight="1" s="23">
      <c r="A991" s="46" t="n"/>
      <c r="B991" s="46" t="n"/>
      <c r="C991" s="47" t="n"/>
      <c r="D991" s="46" t="n"/>
      <c r="E991" s="46" t="n"/>
      <c r="F991" s="46" t="n"/>
      <c r="G991" s="46" t="n"/>
    </row>
    <row r="992" ht="22.5" customHeight="1" s="23">
      <c r="A992" s="46" t="n"/>
      <c r="B992" s="46" t="n"/>
      <c r="C992" s="47" t="n"/>
      <c r="D992" s="46" t="n"/>
      <c r="E992" s="46" t="n"/>
      <c r="F992" s="46" t="n"/>
      <c r="G992" s="46" t="n"/>
    </row>
    <row r="993" ht="22.5" customHeight="1" s="23">
      <c r="A993" s="46" t="n"/>
      <c r="B993" s="46" t="n"/>
      <c r="C993" s="47" t="n"/>
      <c r="D993" s="46" t="n"/>
      <c r="E993" s="46" t="n"/>
      <c r="F993" s="46" t="n"/>
      <c r="G993" s="46" t="n"/>
    </row>
    <row r="994" ht="22.5" customHeight="1" s="23">
      <c r="A994" s="46" t="n"/>
      <c r="B994" s="46" t="n"/>
      <c r="C994" s="47" t="n"/>
      <c r="D994" s="46" t="n"/>
      <c r="E994" s="46" t="n"/>
      <c r="F994" s="46" t="n"/>
      <c r="G994" s="46" t="n"/>
    </row>
    <row r="995" ht="22.5" customHeight="1" s="23">
      <c r="A995" s="46" t="n"/>
      <c r="B995" s="46" t="n"/>
      <c r="C995" s="47" t="n"/>
      <c r="D995" s="46" t="n"/>
      <c r="E995" s="46" t="n"/>
      <c r="F995" s="46" t="n"/>
      <c r="G995" s="46" t="n"/>
    </row>
    <row r="996" ht="22.5" customHeight="1" s="23">
      <c r="A996" s="46" t="n"/>
      <c r="B996" s="46" t="n"/>
      <c r="C996" s="47" t="n"/>
      <c r="D996" s="46" t="n"/>
      <c r="E996" s="46" t="n"/>
      <c r="F996" s="46" t="n"/>
      <c r="G996" s="46" t="n"/>
    </row>
    <row r="997" ht="22.5" customHeight="1" s="23">
      <c r="A997" s="46" t="n"/>
      <c r="B997" s="46" t="n"/>
      <c r="C997" s="47" t="n"/>
      <c r="D997" s="46" t="n"/>
      <c r="E997" s="46" t="n"/>
      <c r="F997" s="46" t="n"/>
      <c r="G997" s="46" t="n"/>
    </row>
    <row r="998">
      <c r="A998" s="48" t="n"/>
      <c r="B998" s="48" t="n"/>
      <c r="C998" s="49" t="n"/>
      <c r="D998" s="48" t="n"/>
      <c r="E998" s="48" t="n"/>
      <c r="F998" s="48" t="n"/>
      <c r="G998" s="48" t="n"/>
    </row>
    <row r="999">
      <c r="A999" s="48" t="n"/>
      <c r="B999" s="48" t="n"/>
      <c r="C999" s="49" t="n"/>
      <c r="D999" s="48" t="n"/>
      <c r="E999" s="48" t="n"/>
      <c r="F999" s="48" t="n"/>
      <c r="G999" s="48" t="n"/>
    </row>
    <row r="1000">
      <c r="A1000" s="48" t="n"/>
      <c r="B1000" s="48" t="n"/>
      <c r="C1000" s="49" t="n"/>
      <c r="D1000" s="48" t="n"/>
      <c r="E1000" s="48" t="n"/>
      <c r="F1000" s="48" t="n"/>
      <c r="G1000" s="48" t="n"/>
    </row>
    <row r="1001">
      <c r="A1001" s="48" t="n"/>
      <c r="B1001" s="48" t="n"/>
      <c r="C1001" s="49" t="n"/>
      <c r="D1001" s="48" t="n"/>
      <c r="E1001" s="48" t="n"/>
      <c r="F1001" s="48" t="n"/>
      <c r="G1001" s="48" t="n"/>
    </row>
    <row r="1002">
      <c r="A1002" s="48" t="n"/>
      <c r="B1002" s="48" t="n"/>
      <c r="C1002" s="49" t="n"/>
      <c r="D1002" s="48" t="n"/>
      <c r="E1002" s="48" t="n"/>
      <c r="F1002" s="48" t="n"/>
      <c r="G1002" s="48" t="n"/>
    </row>
  </sheetData>
  <mergeCells count="1">
    <mergeCell ref="B4:C4"/>
  </mergeCells>
  <dataValidations count="2">
    <dataValidation sqref="D7:D1002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.75" customHeight="1"/>
  <cols>
    <col width="34.75" customWidth="1" style="23" min="1" max="1"/>
    <col width="31.75" customWidth="1" style="23" min="2" max="2"/>
  </cols>
  <sheetData>
    <row r="1" ht="30" customHeight="1" s="23">
      <c r="A1" s="43" t="inlineStr">
        <is>
          <t>Nom</t>
        </is>
      </c>
      <c r="B1" s="43" t="inlineStr">
        <is>
          <t>Numéro de téléphone</t>
        </is>
      </c>
    </row>
    <row r="2">
      <c r="A2" s="40" t="inlineStr">
        <is>
          <t>Nadège DOMA</t>
        </is>
      </c>
      <c r="B2" s="50" t="inlineStr">
        <is>
          <t>+212638398377</t>
        </is>
      </c>
    </row>
    <row r="3">
      <c r="A3" s="40" t="inlineStr">
        <is>
          <t>DC Armel GRI</t>
        </is>
      </c>
      <c r="B3" s="50" t="inlineStr">
        <is>
          <t>+212620886862</t>
        </is>
      </c>
    </row>
    <row r="4">
      <c r="A4" s="40" t="inlineStr">
        <is>
          <t>Rosette Flaure WENESI FANBOU</t>
        </is>
      </c>
      <c r="B4" s="50" t="inlineStr">
        <is>
          <t>+212681191436</t>
        </is>
      </c>
    </row>
    <row r="5">
      <c r="A5" s="40" t="inlineStr">
        <is>
          <t>Marcelle DJIDJA</t>
        </is>
      </c>
      <c r="B5" s="50" t="inlineStr">
        <is>
          <t>+212634208220</t>
        </is>
      </c>
    </row>
    <row r="6">
      <c r="A6" s="40" t="inlineStr">
        <is>
          <t>Mariam ADE RONKE AMESSAN</t>
        </is>
      </c>
      <c r="B6" s="50" t="inlineStr">
        <is>
          <t>+212627938574</t>
        </is>
      </c>
    </row>
    <row r="7">
      <c r="A7" s="40" t="inlineStr">
        <is>
          <t>Tata Sara</t>
        </is>
      </c>
      <c r="B7" s="50" t="inlineStr">
        <is>
          <t>+212779373235</t>
        </is>
      </c>
    </row>
    <row r="8">
      <c r="A8" s="40" t="inlineStr">
        <is>
          <t>Roland OKITONGA</t>
        </is>
      </c>
      <c r="B8" s="50" t="inlineStr">
        <is>
          <t>+212520811749</t>
        </is>
      </c>
    </row>
    <row r="9">
      <c r="A9" s="40" t="inlineStr">
        <is>
          <t>Ancien Hervé LALLE</t>
        </is>
      </c>
      <c r="B9" s="50" t="inlineStr">
        <is>
          <t>+212627749149</t>
        </is>
      </c>
    </row>
    <row r="10">
      <c r="A10" s="40" t="inlineStr">
        <is>
          <t>DC Emmanuel NGAPELA</t>
        </is>
      </c>
      <c r="B10" s="50" t="inlineStr">
        <is>
          <t>+212614410640</t>
        </is>
      </c>
    </row>
    <row r="11">
      <c r="A11" s="40" t="inlineStr">
        <is>
          <t>Christelle OSSALE</t>
        </is>
      </c>
      <c r="B11" s="50" t="inlineStr">
        <is>
          <t>+212630114237</t>
        </is>
      </c>
    </row>
    <row r="12">
      <c r="A12" s="40" t="inlineStr">
        <is>
          <t>Ancien Jean Christophe DOGBRE</t>
        </is>
      </c>
      <c r="B12" s="50" t="inlineStr">
        <is>
          <t>+212 649019118</t>
        </is>
      </c>
    </row>
    <row r="13">
      <c r="A13" s="40" t="n"/>
      <c r="B13" s="51" t="n"/>
    </row>
    <row r="14">
      <c r="A14" s="40" t="n"/>
      <c r="B14" s="51" t="n"/>
    </row>
    <row r="15">
      <c r="A15" s="40" t="n"/>
      <c r="B15" s="51" t="n"/>
    </row>
    <row r="16">
      <c r="A16" s="40" t="n"/>
      <c r="B16" s="51" t="n"/>
    </row>
    <row r="17">
      <c r="A17" s="40" t="n"/>
      <c r="B17" s="51" t="n"/>
    </row>
    <row r="18">
      <c r="A18" s="40" t="n"/>
      <c r="B18" s="51" t="n"/>
    </row>
    <row r="19">
      <c r="A19" s="40" t="n"/>
      <c r="B19" s="51" t="n"/>
    </row>
    <row r="20">
      <c r="A20" s="40" t="n"/>
      <c r="B20" s="51" t="n"/>
    </row>
    <row r="21">
      <c r="A21" s="40" t="n"/>
      <c r="B21" s="51" t="n"/>
    </row>
    <row r="22">
      <c r="A22" s="40" t="n"/>
      <c r="B22" s="51" t="n"/>
    </row>
    <row r="23">
      <c r="A23" s="40" t="n"/>
      <c r="B23" s="51" t="n"/>
    </row>
    <row r="24">
      <c r="A24" s="40" t="n"/>
      <c r="B24" s="51" t="n"/>
    </row>
    <row r="25">
      <c r="A25" s="40" t="n"/>
      <c r="B25" s="51" t="n"/>
    </row>
    <row r="26">
      <c r="A26" s="40" t="n"/>
      <c r="B26" s="51" t="n"/>
    </row>
    <row r="27">
      <c r="A27" s="40" t="n"/>
      <c r="B27" s="51" t="n"/>
    </row>
    <row r="28">
      <c r="A28" s="40" t="n"/>
      <c r="B28" s="51" t="n"/>
    </row>
    <row r="29">
      <c r="A29" s="40" t="n"/>
      <c r="B29" s="51" t="n"/>
    </row>
    <row r="30">
      <c r="A30" s="40" t="n"/>
      <c r="B30" s="51" t="n"/>
    </row>
    <row r="31">
      <c r="A31" s="40" t="n"/>
      <c r="B31" s="51" t="n"/>
    </row>
    <row r="32">
      <c r="A32" s="40" t="n"/>
      <c r="B32" s="51" t="n"/>
    </row>
    <row r="33">
      <c r="A33" s="40" t="n"/>
      <c r="B33" s="51" t="n"/>
    </row>
    <row r="34">
      <c r="A34" s="40" t="n"/>
      <c r="B34" s="51" t="n"/>
    </row>
    <row r="35">
      <c r="A35" s="40" t="n"/>
      <c r="B35" s="51" t="n"/>
    </row>
    <row r="36">
      <c r="A36" s="40" t="n"/>
      <c r="B36" s="51" t="n"/>
    </row>
    <row r="37">
      <c r="A37" s="40" t="n"/>
      <c r="B37" s="51" t="n"/>
    </row>
    <row r="38">
      <c r="A38" s="40" t="n"/>
      <c r="B38" s="51" t="n"/>
    </row>
    <row r="39">
      <c r="A39" s="40" t="n"/>
      <c r="B39" s="51" t="n"/>
    </row>
    <row r="40">
      <c r="A40" s="40" t="n"/>
      <c r="B40" s="51" t="n"/>
    </row>
    <row r="41">
      <c r="A41" s="40" t="n"/>
      <c r="B41" s="51" t="n"/>
    </row>
    <row r="42">
      <c r="A42" s="40" t="n"/>
      <c r="B42" s="51" t="n"/>
    </row>
    <row r="43">
      <c r="A43" s="40" t="n"/>
      <c r="B43" s="51" t="n"/>
    </row>
    <row r="44">
      <c r="A44" s="40" t="n"/>
      <c r="B44" s="51" t="n"/>
    </row>
    <row r="45">
      <c r="A45" s="40" t="n"/>
      <c r="B45" s="51" t="n"/>
    </row>
    <row r="46">
      <c r="A46" s="40" t="n"/>
      <c r="B46" s="51" t="n"/>
    </row>
    <row r="47">
      <c r="A47" s="40" t="n"/>
      <c r="B47" s="51" t="n"/>
    </row>
    <row r="48">
      <c r="A48" s="40" t="n"/>
      <c r="B48" s="51" t="n"/>
    </row>
    <row r="49">
      <c r="A49" s="40" t="n"/>
      <c r="B49" s="51" t="n"/>
    </row>
    <row r="50">
      <c r="A50" s="40" t="n"/>
      <c r="B50" s="51" t="n"/>
    </row>
    <row r="51">
      <c r="A51" s="40" t="n"/>
      <c r="B51" s="51" t="n"/>
    </row>
    <row r="52">
      <c r="A52" s="40" t="n"/>
      <c r="B52" s="51" t="n"/>
    </row>
    <row r="53">
      <c r="A53" s="40" t="n"/>
      <c r="B53" s="51" t="n"/>
    </row>
    <row r="54">
      <c r="A54" s="40" t="n"/>
      <c r="B54" s="51" t="n"/>
    </row>
    <row r="55">
      <c r="A55" s="40" t="n"/>
      <c r="B55" s="51" t="n"/>
    </row>
    <row r="56">
      <c r="A56" s="40" t="n"/>
      <c r="B56" s="51" t="n"/>
    </row>
    <row r="57">
      <c r="A57" s="40" t="n"/>
      <c r="B57" s="51" t="n"/>
    </row>
    <row r="58">
      <c r="A58" s="40" t="n"/>
      <c r="B58" s="51" t="n"/>
    </row>
    <row r="59">
      <c r="A59" s="40" t="n"/>
      <c r="B59" s="51" t="n"/>
    </row>
    <row r="60">
      <c r="A60" s="40" t="n"/>
      <c r="B60" s="51" t="n"/>
    </row>
    <row r="61">
      <c r="A61" s="40" t="n"/>
      <c r="B61" s="51" t="n"/>
    </row>
    <row r="62">
      <c r="A62" s="40" t="n"/>
      <c r="B62" s="51" t="n"/>
    </row>
    <row r="63">
      <c r="A63" s="40" t="n"/>
      <c r="B63" s="51" t="n"/>
    </row>
    <row r="64">
      <c r="A64" s="40" t="n"/>
      <c r="B64" s="51" t="n"/>
    </row>
    <row r="65">
      <c r="A65" s="40" t="n"/>
      <c r="B65" s="51" t="n"/>
    </row>
    <row r="66">
      <c r="A66" s="40" t="n"/>
      <c r="B66" s="51" t="n"/>
    </row>
    <row r="67">
      <c r="A67" s="40" t="n"/>
      <c r="B67" s="51" t="n"/>
    </row>
    <row r="68">
      <c r="A68" s="40" t="n"/>
      <c r="B68" s="51" t="n"/>
    </row>
    <row r="69">
      <c r="A69" s="40" t="n"/>
      <c r="B69" s="51" t="n"/>
    </row>
    <row r="70">
      <c r="A70" s="40" t="n"/>
      <c r="B70" s="51" t="n"/>
    </row>
    <row r="71">
      <c r="A71" s="40" t="n"/>
      <c r="B71" s="51" t="n"/>
    </row>
    <row r="72">
      <c r="A72" s="40" t="n"/>
      <c r="B72" s="51" t="n"/>
    </row>
    <row r="73">
      <c r="A73" s="40" t="n"/>
      <c r="B73" s="51" t="n"/>
    </row>
    <row r="74">
      <c r="A74" s="40" t="n"/>
      <c r="B74" s="51" t="n"/>
    </row>
    <row r="75">
      <c r="A75" s="40" t="n"/>
      <c r="B75" s="51" t="n"/>
    </row>
    <row r="76">
      <c r="A76" s="40" t="n"/>
      <c r="B76" s="51" t="n"/>
    </row>
    <row r="77">
      <c r="A77" s="40" t="n"/>
      <c r="B77" s="51" t="n"/>
    </row>
    <row r="78">
      <c r="A78" s="40" t="n"/>
      <c r="B78" s="51" t="n"/>
    </row>
    <row r="79">
      <c r="A79" s="40" t="n"/>
      <c r="B79" s="51" t="n"/>
    </row>
    <row r="80">
      <c r="A80" s="40" t="n"/>
      <c r="B80" s="51" t="n"/>
    </row>
    <row r="81">
      <c r="A81" s="40" t="n"/>
      <c r="B81" s="51" t="n"/>
    </row>
    <row r="82">
      <c r="A82" s="40" t="n"/>
      <c r="B82" s="51" t="n"/>
    </row>
    <row r="83">
      <c r="A83" s="40" t="n"/>
      <c r="B83" s="51" t="n"/>
    </row>
    <row r="84">
      <c r="A84" s="40" t="n"/>
      <c r="B84" s="51" t="n"/>
    </row>
    <row r="85">
      <c r="A85" s="40" t="n"/>
      <c r="B85" s="51" t="n"/>
    </row>
    <row r="86">
      <c r="A86" s="40" t="n"/>
      <c r="B86" s="51" t="n"/>
    </row>
    <row r="87">
      <c r="A87" s="40" t="n"/>
      <c r="B87" s="51" t="n"/>
    </row>
    <row r="88">
      <c r="A88" s="40" t="n"/>
      <c r="B88" s="51" t="n"/>
    </row>
    <row r="89">
      <c r="A89" s="40" t="n"/>
      <c r="B89" s="51" t="n"/>
    </row>
    <row r="90">
      <c r="A90" s="40" t="n"/>
      <c r="B90" s="51" t="n"/>
    </row>
    <row r="91">
      <c r="A91" s="40" t="n"/>
      <c r="B91" s="51" t="n"/>
    </row>
    <row r="92">
      <c r="A92" s="40" t="n"/>
      <c r="B92" s="51" t="n"/>
    </row>
    <row r="93">
      <c r="A93" s="40" t="n"/>
      <c r="B93" s="51" t="n"/>
    </row>
    <row r="94">
      <c r="A94" s="40" t="n"/>
      <c r="B94" s="51" t="n"/>
    </row>
    <row r="95">
      <c r="A95" s="40" t="n"/>
      <c r="B95" s="51" t="n"/>
    </row>
    <row r="96">
      <c r="A96" s="40" t="n"/>
      <c r="B96" s="51" t="n"/>
    </row>
    <row r="97">
      <c r="A97" s="40" t="n"/>
      <c r="B97" s="51" t="n"/>
    </row>
    <row r="98">
      <c r="A98" s="40" t="n"/>
      <c r="B98" s="51" t="n"/>
    </row>
    <row r="99">
      <c r="A99" s="40" t="n"/>
      <c r="B99" s="51" t="n"/>
    </row>
    <row r="100">
      <c r="A100" s="40" t="n"/>
      <c r="B100" s="51" t="n"/>
    </row>
    <row r="101">
      <c r="A101" s="40" t="n"/>
      <c r="B101" s="51" t="n"/>
    </row>
    <row r="102">
      <c r="A102" s="40" t="n"/>
      <c r="B102" s="51" t="n"/>
    </row>
    <row r="103">
      <c r="A103" s="40" t="n"/>
      <c r="B103" s="51" t="n"/>
    </row>
    <row r="104">
      <c r="A104" s="40" t="n"/>
      <c r="B104" s="51" t="n"/>
    </row>
    <row r="105">
      <c r="A105" s="40" t="n"/>
      <c r="B105" s="51" t="n"/>
    </row>
    <row r="106">
      <c r="A106" s="40" t="n"/>
      <c r="B106" s="51" t="n"/>
    </row>
    <row r="107">
      <c r="A107" s="40" t="n"/>
      <c r="B107" s="51" t="n"/>
    </row>
    <row r="108">
      <c r="A108" s="40" t="n"/>
      <c r="B108" s="51" t="n"/>
    </row>
    <row r="109">
      <c r="A109" s="40" t="n"/>
      <c r="B109" s="51" t="n"/>
    </row>
    <row r="110">
      <c r="A110" s="40" t="n"/>
      <c r="B110" s="51" t="n"/>
    </row>
    <row r="111">
      <c r="A111" s="40" t="n"/>
      <c r="B111" s="51" t="n"/>
    </row>
    <row r="112">
      <c r="A112" s="40" t="n"/>
      <c r="B112" s="51" t="n"/>
    </row>
    <row r="113">
      <c r="A113" s="40" t="n"/>
      <c r="B113" s="51" t="n"/>
    </row>
    <row r="114">
      <c r="A114" s="40" t="n"/>
      <c r="B114" s="51" t="n"/>
    </row>
    <row r="115">
      <c r="A115" s="40" t="n"/>
      <c r="B115" s="51" t="n"/>
    </row>
    <row r="116">
      <c r="A116" s="40" t="n"/>
      <c r="B116" s="51" t="n"/>
    </row>
    <row r="117">
      <c r="A117" s="40" t="n"/>
      <c r="B117" s="51" t="n"/>
    </row>
    <row r="118">
      <c r="A118" s="40" t="n"/>
      <c r="B118" s="51" t="n"/>
    </row>
    <row r="119">
      <c r="A119" s="40" t="n"/>
      <c r="B119" s="51" t="n"/>
    </row>
    <row r="120">
      <c r="A120" s="40" t="n"/>
      <c r="B120" s="51" t="n"/>
    </row>
    <row r="121">
      <c r="A121" s="40" t="n"/>
      <c r="B121" s="51" t="n"/>
    </row>
    <row r="122">
      <c r="A122" s="40" t="n"/>
      <c r="B122" s="51" t="n"/>
    </row>
    <row r="123">
      <c r="A123" s="40" t="n"/>
      <c r="B123" s="51" t="n"/>
    </row>
    <row r="124">
      <c r="A124" s="40" t="n"/>
      <c r="B124" s="51" t="n"/>
    </row>
    <row r="125">
      <c r="A125" s="40" t="n"/>
      <c r="B125" s="51" t="n"/>
    </row>
    <row r="126">
      <c r="A126" s="40" t="n"/>
      <c r="B126" s="51" t="n"/>
    </row>
    <row r="127">
      <c r="A127" s="40" t="n"/>
      <c r="B127" s="51" t="n"/>
    </row>
    <row r="128">
      <c r="A128" s="40" t="n"/>
      <c r="B128" s="51" t="n"/>
    </row>
    <row r="129">
      <c r="A129" s="40" t="n"/>
      <c r="B129" s="51" t="n"/>
    </row>
    <row r="130">
      <c r="A130" s="40" t="n"/>
      <c r="B130" s="51" t="n"/>
    </row>
    <row r="131">
      <c r="A131" s="40" t="n"/>
      <c r="B131" s="51" t="n"/>
    </row>
    <row r="132">
      <c r="A132" s="40" t="n"/>
      <c r="B132" s="51" t="n"/>
    </row>
    <row r="133">
      <c r="A133" s="40" t="n"/>
      <c r="B133" s="51" t="n"/>
    </row>
    <row r="134">
      <c r="A134" s="40" t="n"/>
      <c r="B134" s="51" t="n"/>
    </row>
    <row r="135">
      <c r="A135" s="40" t="n"/>
      <c r="B135" s="51" t="n"/>
    </row>
    <row r="136">
      <c r="A136" s="40" t="n"/>
      <c r="B136" s="51" t="n"/>
    </row>
    <row r="137">
      <c r="A137" s="40" t="n"/>
      <c r="B137" s="51" t="n"/>
    </row>
    <row r="138">
      <c r="A138" s="40" t="n"/>
      <c r="B138" s="51" t="n"/>
    </row>
    <row r="139">
      <c r="A139" s="40" t="n"/>
      <c r="B139" s="51" t="n"/>
    </row>
    <row r="140">
      <c r="A140" s="40" t="n"/>
      <c r="B140" s="51" t="n"/>
    </row>
    <row r="141">
      <c r="A141" s="40" t="n"/>
      <c r="B141" s="51" t="n"/>
    </row>
    <row r="142">
      <c r="A142" s="40" t="n"/>
      <c r="B142" s="51" t="n"/>
    </row>
    <row r="143">
      <c r="A143" s="40" t="n"/>
      <c r="B143" s="51" t="n"/>
    </row>
    <row r="144">
      <c r="A144" s="40" t="n"/>
      <c r="B144" s="51" t="n"/>
    </row>
    <row r="145">
      <c r="A145" s="40" t="n"/>
      <c r="B145" s="51" t="n"/>
    </row>
    <row r="146">
      <c r="A146" s="40" t="n"/>
      <c r="B146" s="51" t="n"/>
    </row>
    <row r="147">
      <c r="A147" s="40" t="n"/>
      <c r="B147" s="51" t="n"/>
    </row>
    <row r="148">
      <c r="A148" s="40" t="n"/>
      <c r="B148" s="51" t="n"/>
    </row>
    <row r="149">
      <c r="A149" s="40" t="n"/>
      <c r="B149" s="51" t="n"/>
    </row>
    <row r="150">
      <c r="A150" s="40" t="n"/>
      <c r="B150" s="51" t="n"/>
    </row>
    <row r="151">
      <c r="A151" s="40" t="n"/>
      <c r="B151" s="51" t="n"/>
    </row>
    <row r="152">
      <c r="A152" s="40" t="n"/>
      <c r="B152" s="51" t="n"/>
    </row>
    <row r="153">
      <c r="A153" s="40" t="n"/>
      <c r="B153" s="51" t="n"/>
    </row>
    <row r="154">
      <c r="A154" s="40" t="n"/>
      <c r="B154" s="51" t="n"/>
    </row>
    <row r="155">
      <c r="A155" s="40" t="n"/>
      <c r="B155" s="51" t="n"/>
    </row>
    <row r="156">
      <c r="A156" s="40" t="n"/>
      <c r="B156" s="51" t="n"/>
    </row>
    <row r="157">
      <c r="A157" s="40" t="n"/>
      <c r="B157" s="51" t="n"/>
    </row>
    <row r="158">
      <c r="A158" s="40" t="n"/>
      <c r="B158" s="51" t="n"/>
    </row>
    <row r="159">
      <c r="A159" s="40" t="n"/>
      <c r="B159" s="51" t="n"/>
    </row>
    <row r="160">
      <c r="A160" s="40" t="n"/>
      <c r="B160" s="51" t="n"/>
    </row>
    <row r="161">
      <c r="A161" s="40" t="n"/>
      <c r="B161" s="51" t="n"/>
    </row>
    <row r="162">
      <c r="A162" s="40" t="n"/>
      <c r="B162" s="51" t="n"/>
    </row>
    <row r="163">
      <c r="A163" s="40" t="n"/>
      <c r="B163" s="51" t="n"/>
    </row>
    <row r="164">
      <c r="A164" s="40" t="n"/>
      <c r="B164" s="51" t="n"/>
    </row>
    <row r="165">
      <c r="A165" s="40" t="n"/>
      <c r="B165" s="51" t="n"/>
    </row>
    <row r="166">
      <c r="A166" s="40" t="n"/>
      <c r="B166" s="51" t="n"/>
    </row>
    <row r="167">
      <c r="A167" s="40" t="n"/>
      <c r="B167" s="51" t="n"/>
    </row>
    <row r="168">
      <c r="A168" s="40" t="n"/>
      <c r="B168" s="51" t="n"/>
    </row>
    <row r="169">
      <c r="A169" s="40" t="n"/>
      <c r="B169" s="51" t="n"/>
    </row>
    <row r="170">
      <c r="A170" s="40" t="n"/>
      <c r="B170" s="51" t="n"/>
    </row>
    <row r="171">
      <c r="A171" s="40" t="n"/>
      <c r="B171" s="51" t="n"/>
    </row>
    <row r="172">
      <c r="A172" s="40" t="n"/>
      <c r="B172" s="51" t="n"/>
    </row>
    <row r="173">
      <c r="A173" s="40" t="n"/>
      <c r="B173" s="51" t="n"/>
    </row>
    <row r="174">
      <c r="A174" s="40" t="n"/>
      <c r="B174" s="51" t="n"/>
    </row>
    <row r="175">
      <c r="A175" s="40" t="n"/>
      <c r="B175" s="51" t="n"/>
    </row>
    <row r="176">
      <c r="A176" s="40" t="n"/>
      <c r="B176" s="51" t="n"/>
    </row>
    <row r="177">
      <c r="A177" s="40" t="n"/>
      <c r="B177" s="51" t="n"/>
    </row>
    <row r="178">
      <c r="A178" s="40" t="n"/>
      <c r="B178" s="51" t="n"/>
    </row>
    <row r="179">
      <c r="A179" s="40" t="n"/>
      <c r="B179" s="51" t="n"/>
    </row>
    <row r="180">
      <c r="A180" s="40" t="n"/>
      <c r="B180" s="51" t="n"/>
    </row>
    <row r="181">
      <c r="A181" s="40" t="n"/>
      <c r="B181" s="51" t="n"/>
    </row>
    <row r="182">
      <c r="A182" s="40" t="n"/>
      <c r="B182" s="51" t="n"/>
    </row>
    <row r="183">
      <c r="A183" s="40" t="n"/>
      <c r="B183" s="51" t="n"/>
    </row>
    <row r="184">
      <c r="A184" s="40" t="n"/>
      <c r="B184" s="51" t="n"/>
    </row>
    <row r="185">
      <c r="A185" s="40" t="n"/>
      <c r="B185" s="51" t="n"/>
    </row>
    <row r="186">
      <c r="A186" s="40" t="n"/>
      <c r="B186" s="51" t="n"/>
    </row>
    <row r="187">
      <c r="A187" s="40" t="n"/>
      <c r="B187" s="51" t="n"/>
    </row>
    <row r="188">
      <c r="A188" s="40" t="n"/>
      <c r="B188" s="51" t="n"/>
    </row>
    <row r="189">
      <c r="A189" s="40" t="n"/>
      <c r="B189" s="51" t="n"/>
    </row>
    <row r="190">
      <c r="A190" s="40" t="n"/>
      <c r="B190" s="51" t="n"/>
    </row>
    <row r="191">
      <c r="A191" s="40" t="n"/>
      <c r="B191" s="51" t="n"/>
    </row>
    <row r="192">
      <c r="A192" s="40" t="n"/>
      <c r="B192" s="51" t="n"/>
    </row>
    <row r="193">
      <c r="A193" s="40" t="n"/>
      <c r="B193" s="51" t="n"/>
    </row>
    <row r="194">
      <c r="A194" s="40" t="n"/>
      <c r="B194" s="51" t="n"/>
    </row>
    <row r="195">
      <c r="A195" s="40" t="n"/>
      <c r="B195" s="51" t="n"/>
    </row>
    <row r="196">
      <c r="A196" s="40" t="n"/>
      <c r="B196" s="51" t="n"/>
    </row>
    <row r="197">
      <c r="A197" s="40" t="n"/>
      <c r="B197" s="51" t="n"/>
    </row>
    <row r="198">
      <c r="A198" s="40" t="n"/>
      <c r="B198" s="51" t="n"/>
    </row>
    <row r="199">
      <c r="A199" s="40" t="n"/>
      <c r="B199" s="51" t="n"/>
    </row>
    <row r="200">
      <c r="A200" s="40" t="n"/>
      <c r="B200" s="51" t="n"/>
    </row>
    <row r="201">
      <c r="A201" s="40" t="n"/>
      <c r="B201" s="51" t="n"/>
    </row>
    <row r="202">
      <c r="A202" s="40" t="n"/>
      <c r="B202" s="51" t="n"/>
    </row>
    <row r="203">
      <c r="A203" s="40" t="n"/>
      <c r="B203" s="51" t="n"/>
    </row>
    <row r="204">
      <c r="A204" s="40" t="n"/>
      <c r="B204" s="51" t="n"/>
    </row>
    <row r="205">
      <c r="A205" s="40" t="n"/>
      <c r="B205" s="51" t="n"/>
    </row>
    <row r="206">
      <c r="A206" s="40" t="n"/>
      <c r="B206" s="51" t="n"/>
    </row>
    <row r="207">
      <c r="A207" s="40" t="n"/>
      <c r="B207" s="51" t="n"/>
    </row>
    <row r="208">
      <c r="A208" s="40" t="n"/>
      <c r="B208" s="51" t="n"/>
    </row>
    <row r="209">
      <c r="A209" s="40" t="n"/>
      <c r="B209" s="51" t="n"/>
    </row>
    <row r="210">
      <c r="A210" s="40" t="n"/>
      <c r="B210" s="51" t="n"/>
    </row>
    <row r="211">
      <c r="A211" s="40" t="n"/>
      <c r="B211" s="51" t="n"/>
    </row>
    <row r="212">
      <c r="A212" s="40" t="n"/>
      <c r="B212" s="51" t="n"/>
    </row>
    <row r="213">
      <c r="A213" s="40" t="n"/>
      <c r="B213" s="51" t="n"/>
    </row>
    <row r="214">
      <c r="A214" s="40" t="n"/>
      <c r="B214" s="51" t="n"/>
    </row>
    <row r="215">
      <c r="A215" s="40" t="n"/>
      <c r="B215" s="51" t="n"/>
    </row>
    <row r="216">
      <c r="A216" s="40" t="n"/>
      <c r="B216" s="51" t="n"/>
    </row>
    <row r="217">
      <c r="A217" s="40" t="n"/>
      <c r="B217" s="51" t="n"/>
    </row>
    <row r="218">
      <c r="A218" s="40" t="n"/>
      <c r="B218" s="51" t="n"/>
    </row>
    <row r="219">
      <c r="A219" s="40" t="n"/>
      <c r="B219" s="51" t="n"/>
    </row>
    <row r="220">
      <c r="A220" s="40" t="n"/>
      <c r="B220" s="51" t="n"/>
    </row>
    <row r="221">
      <c r="A221" s="40" t="n"/>
      <c r="B221" s="51" t="n"/>
    </row>
    <row r="222">
      <c r="A222" s="40" t="n"/>
      <c r="B222" s="51" t="n"/>
    </row>
    <row r="223">
      <c r="A223" s="40" t="n"/>
      <c r="B223" s="51" t="n"/>
    </row>
    <row r="224">
      <c r="A224" s="40" t="n"/>
      <c r="B224" s="51" t="n"/>
    </row>
    <row r="225">
      <c r="A225" s="40" t="n"/>
      <c r="B225" s="51" t="n"/>
    </row>
    <row r="226">
      <c r="A226" s="40" t="n"/>
      <c r="B226" s="51" t="n"/>
    </row>
    <row r="227">
      <c r="A227" s="40" t="n"/>
      <c r="B227" s="51" t="n"/>
    </row>
    <row r="228">
      <c r="A228" s="40" t="n"/>
      <c r="B228" s="51" t="n"/>
    </row>
    <row r="229">
      <c r="A229" s="40" t="n"/>
      <c r="B229" s="51" t="n"/>
    </row>
    <row r="230">
      <c r="A230" s="40" t="n"/>
      <c r="B230" s="51" t="n"/>
    </row>
    <row r="231">
      <c r="A231" s="40" t="n"/>
      <c r="B231" s="51" t="n"/>
    </row>
    <row r="232">
      <c r="A232" s="40" t="n"/>
      <c r="B232" s="51" t="n"/>
    </row>
    <row r="233">
      <c r="A233" s="40" t="n"/>
      <c r="B233" s="51" t="n"/>
    </row>
    <row r="234">
      <c r="A234" s="40" t="n"/>
      <c r="B234" s="51" t="n"/>
    </row>
    <row r="235">
      <c r="A235" s="40" t="n"/>
      <c r="B235" s="51" t="n"/>
    </row>
    <row r="236">
      <c r="A236" s="40" t="n"/>
      <c r="B236" s="51" t="n"/>
    </row>
    <row r="237">
      <c r="A237" s="40" t="n"/>
      <c r="B237" s="51" t="n"/>
    </row>
    <row r="238">
      <c r="A238" s="40" t="n"/>
      <c r="B238" s="51" t="n"/>
    </row>
    <row r="239">
      <c r="A239" s="40" t="n"/>
      <c r="B239" s="51" t="n"/>
    </row>
    <row r="240">
      <c r="A240" s="40" t="n"/>
      <c r="B240" s="51" t="n"/>
    </row>
    <row r="241">
      <c r="A241" s="40" t="n"/>
      <c r="B241" s="51" t="n"/>
    </row>
    <row r="242">
      <c r="A242" s="40" t="n"/>
      <c r="B242" s="51" t="n"/>
    </row>
    <row r="243">
      <c r="A243" s="40" t="n"/>
      <c r="B243" s="51" t="n"/>
    </row>
    <row r="244">
      <c r="A244" s="40" t="n"/>
      <c r="B244" s="51" t="n"/>
    </row>
    <row r="245">
      <c r="A245" s="40" t="n"/>
      <c r="B245" s="51" t="n"/>
    </row>
    <row r="246">
      <c r="A246" s="40" t="n"/>
      <c r="B246" s="51" t="n"/>
    </row>
    <row r="247">
      <c r="A247" s="40" t="n"/>
      <c r="B247" s="51" t="n"/>
    </row>
    <row r="248">
      <c r="A248" s="40" t="n"/>
      <c r="B248" s="51" t="n"/>
    </row>
    <row r="249">
      <c r="A249" s="40" t="n"/>
      <c r="B249" s="51" t="n"/>
    </row>
    <row r="250">
      <c r="A250" s="40" t="n"/>
      <c r="B250" s="51" t="n"/>
    </row>
    <row r="251">
      <c r="A251" s="40" t="n"/>
      <c r="B251" s="51" t="n"/>
    </row>
    <row r="252">
      <c r="A252" s="40" t="n"/>
      <c r="B252" s="51" t="n"/>
    </row>
    <row r="253">
      <c r="A253" s="40" t="n"/>
      <c r="B253" s="51" t="n"/>
    </row>
    <row r="254">
      <c r="A254" s="40" t="n"/>
      <c r="B254" s="51" t="n"/>
    </row>
    <row r="255">
      <c r="A255" s="40" t="n"/>
      <c r="B255" s="51" t="n"/>
    </row>
    <row r="256">
      <c r="A256" s="40" t="n"/>
      <c r="B256" s="51" t="n"/>
    </row>
    <row r="257">
      <c r="A257" s="40" t="n"/>
      <c r="B257" s="51" t="n"/>
    </row>
    <row r="258">
      <c r="A258" s="40" t="n"/>
      <c r="B258" s="51" t="n"/>
    </row>
    <row r="259">
      <c r="A259" s="40" t="n"/>
      <c r="B259" s="51" t="n"/>
    </row>
    <row r="260">
      <c r="A260" s="40" t="n"/>
      <c r="B260" s="51" t="n"/>
    </row>
    <row r="261">
      <c r="A261" s="40" t="n"/>
      <c r="B261" s="51" t="n"/>
    </row>
    <row r="262">
      <c r="A262" s="40" t="n"/>
      <c r="B262" s="51" t="n"/>
    </row>
    <row r="263">
      <c r="A263" s="40" t="n"/>
      <c r="B263" s="51" t="n"/>
    </row>
    <row r="264">
      <c r="A264" s="40" t="n"/>
      <c r="B264" s="51" t="n"/>
    </row>
    <row r="265">
      <c r="A265" s="40" t="n"/>
      <c r="B265" s="51" t="n"/>
    </row>
    <row r="266">
      <c r="A266" s="40" t="n"/>
      <c r="B266" s="51" t="n"/>
    </row>
    <row r="267">
      <c r="A267" s="40" t="n"/>
      <c r="B267" s="51" t="n"/>
    </row>
    <row r="268">
      <c r="A268" s="40" t="n"/>
      <c r="B268" s="51" t="n"/>
    </row>
    <row r="269">
      <c r="A269" s="40" t="n"/>
      <c r="B269" s="51" t="n"/>
    </row>
    <row r="270">
      <c r="A270" s="40" t="n"/>
      <c r="B270" s="51" t="n"/>
    </row>
    <row r="271">
      <c r="A271" s="40" t="n"/>
      <c r="B271" s="51" t="n"/>
    </row>
    <row r="272">
      <c r="A272" s="40" t="n"/>
      <c r="B272" s="51" t="n"/>
    </row>
    <row r="273">
      <c r="A273" s="40" t="n"/>
      <c r="B273" s="51" t="n"/>
    </row>
    <row r="274">
      <c r="A274" s="40" t="n"/>
      <c r="B274" s="51" t="n"/>
    </row>
    <row r="275">
      <c r="A275" s="40" t="n"/>
      <c r="B275" s="51" t="n"/>
    </row>
    <row r="276">
      <c r="A276" s="40" t="n"/>
      <c r="B276" s="51" t="n"/>
    </row>
    <row r="277">
      <c r="A277" s="40" t="n"/>
      <c r="B277" s="51" t="n"/>
    </row>
    <row r="278">
      <c r="A278" s="40" t="n"/>
      <c r="B278" s="51" t="n"/>
    </row>
    <row r="279">
      <c r="A279" s="40" t="n"/>
      <c r="B279" s="51" t="n"/>
    </row>
    <row r="280">
      <c r="A280" s="40" t="n"/>
      <c r="B280" s="51" t="n"/>
    </row>
    <row r="281">
      <c r="A281" s="40" t="n"/>
      <c r="B281" s="51" t="n"/>
    </row>
    <row r="282">
      <c r="A282" s="40" t="n"/>
      <c r="B282" s="51" t="n"/>
    </row>
    <row r="283">
      <c r="A283" s="40" t="n"/>
      <c r="B283" s="51" t="n"/>
    </row>
    <row r="284">
      <c r="A284" s="40" t="n"/>
      <c r="B284" s="51" t="n"/>
    </row>
    <row r="285">
      <c r="A285" s="40" t="n"/>
      <c r="B285" s="51" t="n"/>
    </row>
    <row r="286">
      <c r="A286" s="40" t="n"/>
      <c r="B286" s="51" t="n"/>
    </row>
    <row r="287">
      <c r="A287" s="40" t="n"/>
      <c r="B287" s="51" t="n"/>
    </row>
    <row r="288">
      <c r="A288" s="40" t="n"/>
      <c r="B288" s="51" t="n"/>
    </row>
    <row r="289">
      <c r="A289" s="40" t="n"/>
      <c r="B289" s="51" t="n"/>
    </row>
    <row r="290">
      <c r="A290" s="40" t="n"/>
      <c r="B290" s="51" t="n"/>
    </row>
    <row r="291">
      <c r="A291" s="40" t="n"/>
      <c r="B291" s="51" t="n"/>
    </row>
    <row r="292">
      <c r="A292" s="40" t="n"/>
      <c r="B292" s="51" t="n"/>
    </row>
    <row r="293">
      <c r="A293" s="40" t="n"/>
      <c r="B293" s="51" t="n"/>
    </row>
    <row r="294">
      <c r="A294" s="40" t="n"/>
      <c r="B294" s="51" t="n"/>
    </row>
    <row r="295">
      <c r="A295" s="40" t="n"/>
      <c r="B295" s="51" t="n"/>
    </row>
    <row r="296">
      <c r="A296" s="40" t="n"/>
      <c r="B296" s="51" t="n"/>
    </row>
    <row r="297">
      <c r="A297" s="40" t="n"/>
      <c r="B297" s="51" t="n"/>
    </row>
    <row r="298">
      <c r="A298" s="40" t="n"/>
      <c r="B298" s="51" t="n"/>
    </row>
    <row r="299">
      <c r="A299" s="40" t="n"/>
      <c r="B299" s="51" t="n"/>
    </row>
    <row r="300">
      <c r="A300" s="40" t="n"/>
      <c r="B300" s="51" t="n"/>
    </row>
    <row r="301">
      <c r="A301" s="40" t="n"/>
      <c r="B301" s="51" t="n"/>
    </row>
    <row r="302">
      <c r="A302" s="40" t="n"/>
      <c r="B302" s="51" t="n"/>
    </row>
    <row r="303">
      <c r="A303" s="40" t="n"/>
      <c r="B303" s="51" t="n"/>
    </row>
    <row r="304">
      <c r="A304" s="40" t="n"/>
      <c r="B304" s="51" t="n"/>
    </row>
    <row r="305">
      <c r="A305" s="40" t="n"/>
      <c r="B305" s="51" t="n"/>
    </row>
    <row r="306">
      <c r="A306" s="40" t="n"/>
      <c r="B306" s="51" t="n"/>
    </row>
    <row r="307">
      <c r="A307" s="40" t="n"/>
      <c r="B307" s="51" t="n"/>
    </row>
    <row r="308">
      <c r="A308" s="40" t="n"/>
      <c r="B308" s="51" t="n"/>
    </row>
    <row r="309">
      <c r="A309" s="40" t="n"/>
      <c r="B309" s="51" t="n"/>
    </row>
    <row r="310">
      <c r="A310" s="40" t="n"/>
      <c r="B310" s="51" t="n"/>
    </row>
    <row r="311">
      <c r="A311" s="40" t="n"/>
      <c r="B311" s="51" t="n"/>
    </row>
    <row r="312">
      <c r="A312" s="40" t="n"/>
      <c r="B312" s="51" t="n"/>
    </row>
    <row r="313">
      <c r="A313" s="40" t="n"/>
      <c r="B313" s="51" t="n"/>
    </row>
    <row r="314">
      <c r="A314" s="40" t="n"/>
      <c r="B314" s="51" t="n"/>
    </row>
    <row r="315">
      <c r="A315" s="40" t="n"/>
      <c r="B315" s="51" t="n"/>
    </row>
    <row r="316">
      <c r="A316" s="40" t="n"/>
      <c r="B316" s="51" t="n"/>
    </row>
    <row r="317">
      <c r="A317" s="40" t="n"/>
      <c r="B317" s="51" t="n"/>
    </row>
    <row r="318">
      <c r="A318" s="40" t="n"/>
      <c r="B318" s="51" t="n"/>
    </row>
    <row r="319">
      <c r="A319" s="40" t="n"/>
      <c r="B319" s="51" t="n"/>
    </row>
    <row r="320">
      <c r="A320" s="40" t="n"/>
      <c r="B320" s="51" t="n"/>
    </row>
    <row r="321">
      <c r="A321" s="40" t="n"/>
      <c r="B321" s="51" t="n"/>
    </row>
    <row r="322">
      <c r="A322" s="40" t="n"/>
      <c r="B322" s="51" t="n"/>
    </row>
    <row r="323">
      <c r="A323" s="40" t="n"/>
      <c r="B323" s="51" t="n"/>
    </row>
    <row r="324">
      <c r="A324" s="40" t="n"/>
      <c r="B324" s="51" t="n"/>
    </row>
    <row r="325">
      <c r="A325" s="40" t="n"/>
      <c r="B325" s="51" t="n"/>
    </row>
    <row r="326">
      <c r="A326" s="40" t="n"/>
      <c r="B326" s="51" t="n"/>
    </row>
    <row r="327">
      <c r="A327" s="40" t="n"/>
      <c r="B327" s="51" t="n"/>
    </row>
    <row r="328">
      <c r="A328" s="40" t="n"/>
      <c r="B328" s="51" t="n"/>
    </row>
    <row r="329">
      <c r="A329" s="40" t="n"/>
      <c r="B329" s="51" t="n"/>
    </row>
    <row r="330">
      <c r="A330" s="40" t="n"/>
      <c r="B330" s="51" t="n"/>
    </row>
    <row r="331">
      <c r="A331" s="40" t="n"/>
      <c r="B331" s="51" t="n"/>
    </row>
    <row r="332">
      <c r="A332" s="40" t="n"/>
      <c r="B332" s="51" t="n"/>
    </row>
    <row r="333">
      <c r="A333" s="40" t="n"/>
      <c r="B333" s="51" t="n"/>
    </row>
    <row r="334">
      <c r="A334" s="40" t="n"/>
      <c r="B334" s="51" t="n"/>
    </row>
    <row r="335">
      <c r="A335" s="40" t="n"/>
      <c r="B335" s="51" t="n"/>
    </row>
    <row r="336">
      <c r="A336" s="40" t="n"/>
      <c r="B336" s="51" t="n"/>
    </row>
    <row r="337">
      <c r="A337" s="40" t="n"/>
      <c r="B337" s="51" t="n"/>
    </row>
    <row r="338">
      <c r="A338" s="40" t="n"/>
      <c r="B338" s="51" t="n"/>
    </row>
    <row r="339">
      <c r="A339" s="40" t="n"/>
      <c r="B339" s="51" t="n"/>
    </row>
    <row r="340">
      <c r="A340" s="40" t="n"/>
      <c r="B340" s="51" t="n"/>
    </row>
    <row r="341">
      <c r="A341" s="40" t="n"/>
      <c r="B341" s="51" t="n"/>
    </row>
    <row r="342">
      <c r="A342" s="40" t="n"/>
      <c r="B342" s="51" t="n"/>
    </row>
    <row r="343">
      <c r="A343" s="40" t="n"/>
      <c r="B343" s="51" t="n"/>
    </row>
    <row r="344">
      <c r="A344" s="40" t="n"/>
      <c r="B344" s="51" t="n"/>
    </row>
    <row r="345">
      <c r="A345" s="40" t="n"/>
      <c r="B345" s="51" t="n"/>
    </row>
    <row r="346">
      <c r="A346" s="40" t="n"/>
      <c r="B346" s="51" t="n"/>
    </row>
    <row r="347">
      <c r="A347" s="40" t="n"/>
      <c r="B347" s="51" t="n"/>
    </row>
    <row r="348">
      <c r="A348" s="40" t="n"/>
      <c r="B348" s="51" t="n"/>
    </row>
    <row r="349">
      <c r="A349" s="40" t="n"/>
      <c r="B349" s="51" t="n"/>
    </row>
    <row r="350">
      <c r="A350" s="40" t="n"/>
      <c r="B350" s="51" t="n"/>
    </row>
    <row r="351">
      <c r="A351" s="40" t="n"/>
      <c r="B351" s="51" t="n"/>
    </row>
    <row r="352">
      <c r="A352" s="40" t="n"/>
      <c r="B352" s="51" t="n"/>
    </row>
    <row r="353">
      <c r="A353" s="40" t="n"/>
      <c r="B353" s="51" t="n"/>
    </row>
    <row r="354">
      <c r="A354" s="40" t="n"/>
      <c r="B354" s="51" t="n"/>
    </row>
    <row r="355">
      <c r="A355" s="40" t="n"/>
      <c r="B355" s="51" t="n"/>
    </row>
    <row r="356">
      <c r="A356" s="40" t="n"/>
      <c r="B356" s="51" t="n"/>
    </row>
    <row r="357">
      <c r="A357" s="40" t="n"/>
      <c r="B357" s="51" t="n"/>
    </row>
    <row r="358">
      <c r="A358" s="40" t="n"/>
      <c r="B358" s="51" t="n"/>
    </row>
    <row r="359">
      <c r="A359" s="40" t="n"/>
      <c r="B359" s="51" t="n"/>
    </row>
    <row r="360">
      <c r="A360" s="40" t="n"/>
      <c r="B360" s="51" t="n"/>
    </row>
    <row r="361">
      <c r="A361" s="40" t="n"/>
      <c r="B361" s="51" t="n"/>
    </row>
    <row r="362">
      <c r="A362" s="40" t="n"/>
      <c r="B362" s="51" t="n"/>
    </row>
    <row r="363">
      <c r="A363" s="40" t="n"/>
      <c r="B363" s="51" t="n"/>
    </row>
    <row r="364">
      <c r="A364" s="40" t="n"/>
      <c r="B364" s="51" t="n"/>
    </row>
    <row r="365">
      <c r="A365" s="40" t="n"/>
      <c r="B365" s="51" t="n"/>
    </row>
    <row r="366">
      <c r="A366" s="40" t="n"/>
      <c r="B366" s="51" t="n"/>
    </row>
    <row r="367">
      <c r="A367" s="40" t="n"/>
      <c r="B367" s="51" t="n"/>
    </row>
    <row r="368">
      <c r="A368" s="40" t="n"/>
      <c r="B368" s="51" t="n"/>
    </row>
    <row r="369">
      <c r="A369" s="40" t="n"/>
      <c r="B369" s="51" t="n"/>
    </row>
    <row r="370">
      <c r="A370" s="40" t="n"/>
      <c r="B370" s="51" t="n"/>
    </row>
    <row r="371">
      <c r="A371" s="40" t="n"/>
      <c r="B371" s="51" t="n"/>
    </row>
    <row r="372">
      <c r="A372" s="40" t="n"/>
      <c r="B372" s="51" t="n"/>
    </row>
    <row r="373">
      <c r="A373" s="40" t="n"/>
      <c r="B373" s="51" t="n"/>
    </row>
    <row r="374">
      <c r="A374" s="40" t="n"/>
      <c r="B374" s="51" t="n"/>
    </row>
    <row r="375">
      <c r="A375" s="40" t="n"/>
      <c r="B375" s="51" t="n"/>
    </row>
    <row r="376">
      <c r="A376" s="40" t="n"/>
      <c r="B376" s="51" t="n"/>
    </row>
    <row r="377">
      <c r="A377" s="40" t="n"/>
      <c r="B377" s="51" t="n"/>
    </row>
    <row r="378">
      <c r="A378" s="40" t="n"/>
      <c r="B378" s="51" t="n"/>
    </row>
    <row r="379">
      <c r="A379" s="40" t="n"/>
      <c r="B379" s="51" t="n"/>
    </row>
    <row r="380">
      <c r="A380" s="40" t="n"/>
      <c r="B380" s="51" t="n"/>
    </row>
    <row r="381">
      <c r="A381" s="40" t="n"/>
      <c r="B381" s="51" t="n"/>
    </row>
    <row r="382">
      <c r="A382" s="40" t="n"/>
      <c r="B382" s="51" t="n"/>
    </row>
    <row r="383">
      <c r="A383" s="40" t="n"/>
      <c r="B383" s="51" t="n"/>
    </row>
    <row r="384">
      <c r="A384" s="40" t="n"/>
      <c r="B384" s="51" t="n"/>
    </row>
    <row r="385">
      <c r="A385" s="40" t="n"/>
      <c r="B385" s="51" t="n"/>
    </row>
    <row r="386">
      <c r="A386" s="40" t="n"/>
      <c r="B386" s="51" t="n"/>
    </row>
    <row r="387">
      <c r="A387" s="40" t="n"/>
      <c r="B387" s="51" t="n"/>
    </row>
    <row r="388">
      <c r="A388" s="40" t="n"/>
      <c r="B388" s="51" t="n"/>
    </row>
    <row r="389">
      <c r="A389" s="40" t="n"/>
      <c r="B389" s="51" t="n"/>
    </row>
    <row r="390">
      <c r="A390" s="40" t="n"/>
      <c r="B390" s="51" t="n"/>
    </row>
    <row r="391">
      <c r="A391" s="40" t="n"/>
      <c r="B391" s="51" t="n"/>
    </row>
    <row r="392">
      <c r="A392" s="40" t="n"/>
      <c r="B392" s="51" t="n"/>
    </row>
    <row r="393">
      <c r="A393" s="40" t="n"/>
      <c r="B393" s="51" t="n"/>
    </row>
    <row r="394">
      <c r="A394" s="40" t="n"/>
      <c r="B394" s="51" t="n"/>
    </row>
    <row r="395">
      <c r="A395" s="40" t="n"/>
      <c r="B395" s="51" t="n"/>
    </row>
    <row r="396">
      <c r="A396" s="40" t="n"/>
      <c r="B396" s="51" t="n"/>
    </row>
    <row r="397">
      <c r="A397" s="40" t="n"/>
      <c r="B397" s="51" t="n"/>
    </row>
    <row r="398">
      <c r="A398" s="40" t="n"/>
      <c r="B398" s="51" t="n"/>
    </row>
    <row r="399">
      <c r="A399" s="40" t="n"/>
      <c r="B399" s="51" t="n"/>
    </row>
    <row r="400">
      <c r="A400" s="40" t="n"/>
      <c r="B400" s="51" t="n"/>
    </row>
    <row r="401">
      <c r="A401" s="40" t="n"/>
      <c r="B401" s="51" t="n"/>
    </row>
    <row r="402">
      <c r="A402" s="40" t="n"/>
      <c r="B402" s="51" t="n"/>
    </row>
    <row r="403">
      <c r="A403" s="40" t="n"/>
      <c r="B403" s="51" t="n"/>
    </row>
    <row r="404">
      <c r="A404" s="40" t="n"/>
      <c r="B404" s="51" t="n"/>
    </row>
    <row r="405">
      <c r="A405" s="40" t="n"/>
      <c r="B405" s="51" t="n"/>
    </row>
    <row r="406">
      <c r="A406" s="40" t="n"/>
      <c r="B406" s="51" t="n"/>
    </row>
    <row r="407">
      <c r="A407" s="40" t="n"/>
      <c r="B407" s="51" t="n"/>
    </row>
    <row r="408">
      <c r="A408" s="40" t="n"/>
      <c r="B408" s="51" t="n"/>
    </row>
    <row r="409">
      <c r="A409" s="40" t="n"/>
      <c r="B409" s="51" t="n"/>
    </row>
    <row r="410">
      <c r="A410" s="40" t="n"/>
      <c r="B410" s="51" t="n"/>
    </row>
    <row r="411">
      <c r="A411" s="40" t="n"/>
      <c r="B411" s="51" t="n"/>
    </row>
    <row r="412">
      <c r="A412" s="40" t="n"/>
      <c r="B412" s="51" t="n"/>
    </row>
    <row r="413">
      <c r="A413" s="40" t="n"/>
      <c r="B413" s="51" t="n"/>
    </row>
    <row r="414">
      <c r="A414" s="40" t="n"/>
      <c r="B414" s="51" t="n"/>
    </row>
    <row r="415">
      <c r="A415" s="40" t="n"/>
      <c r="B415" s="51" t="n"/>
    </row>
    <row r="416">
      <c r="A416" s="40" t="n"/>
      <c r="B416" s="51" t="n"/>
    </row>
    <row r="417">
      <c r="A417" s="40" t="n"/>
      <c r="B417" s="51" t="n"/>
    </row>
    <row r="418">
      <c r="A418" s="40" t="n"/>
      <c r="B418" s="51" t="n"/>
    </row>
    <row r="419">
      <c r="A419" s="40" t="n"/>
      <c r="B419" s="51" t="n"/>
    </row>
    <row r="420">
      <c r="A420" s="40" t="n"/>
      <c r="B420" s="51" t="n"/>
    </row>
    <row r="421">
      <c r="A421" s="40" t="n"/>
      <c r="B421" s="51" t="n"/>
    </row>
    <row r="422">
      <c r="A422" s="40" t="n"/>
      <c r="B422" s="51" t="n"/>
    </row>
    <row r="423">
      <c r="A423" s="40" t="n"/>
      <c r="B423" s="51" t="n"/>
    </row>
    <row r="424">
      <c r="A424" s="40" t="n"/>
      <c r="B424" s="51" t="n"/>
    </row>
    <row r="425">
      <c r="A425" s="40" t="n"/>
      <c r="B425" s="51" t="n"/>
    </row>
    <row r="426">
      <c r="A426" s="40" t="n"/>
      <c r="B426" s="51" t="n"/>
    </row>
    <row r="427">
      <c r="A427" s="40" t="n"/>
      <c r="B427" s="51" t="n"/>
    </row>
    <row r="428">
      <c r="A428" s="40" t="n"/>
      <c r="B428" s="51" t="n"/>
    </row>
    <row r="429">
      <c r="A429" s="40" t="n"/>
      <c r="B429" s="51" t="n"/>
    </row>
    <row r="430">
      <c r="A430" s="40" t="n"/>
      <c r="B430" s="51" t="n"/>
    </row>
    <row r="431">
      <c r="A431" s="40" t="n"/>
      <c r="B431" s="51" t="n"/>
    </row>
    <row r="432">
      <c r="A432" s="40" t="n"/>
      <c r="B432" s="51" t="n"/>
    </row>
    <row r="433">
      <c r="A433" s="40" t="n"/>
      <c r="B433" s="51" t="n"/>
    </row>
    <row r="434">
      <c r="A434" s="40" t="n"/>
      <c r="B434" s="51" t="n"/>
    </row>
    <row r="435">
      <c r="A435" s="40" t="n"/>
      <c r="B435" s="51" t="n"/>
    </row>
    <row r="436">
      <c r="A436" s="40" t="n"/>
      <c r="B436" s="51" t="n"/>
    </row>
    <row r="437">
      <c r="A437" s="40" t="n"/>
      <c r="B437" s="51" t="n"/>
    </row>
    <row r="438">
      <c r="A438" s="40" t="n"/>
      <c r="B438" s="51" t="n"/>
    </row>
    <row r="439">
      <c r="A439" s="40" t="n"/>
      <c r="B439" s="51" t="n"/>
    </row>
    <row r="440">
      <c r="A440" s="40" t="n"/>
      <c r="B440" s="51" t="n"/>
    </row>
    <row r="441">
      <c r="A441" s="40" t="n"/>
      <c r="B441" s="51" t="n"/>
    </row>
    <row r="442">
      <c r="A442" s="40" t="n"/>
      <c r="B442" s="51" t="n"/>
    </row>
    <row r="443">
      <c r="A443" s="40" t="n"/>
      <c r="B443" s="51" t="n"/>
    </row>
    <row r="444">
      <c r="A444" s="40" t="n"/>
      <c r="B444" s="51" t="n"/>
    </row>
    <row r="445">
      <c r="A445" s="40" t="n"/>
      <c r="B445" s="51" t="n"/>
    </row>
    <row r="446">
      <c r="A446" s="40" t="n"/>
      <c r="B446" s="51" t="n"/>
    </row>
    <row r="447">
      <c r="A447" s="40" t="n"/>
      <c r="B447" s="51" t="n"/>
    </row>
    <row r="448">
      <c r="A448" s="40" t="n"/>
      <c r="B448" s="51" t="n"/>
    </row>
    <row r="449">
      <c r="A449" s="40" t="n"/>
      <c r="B449" s="51" t="n"/>
    </row>
    <row r="450">
      <c r="A450" s="40" t="n"/>
      <c r="B450" s="51" t="n"/>
    </row>
    <row r="451">
      <c r="A451" s="40" t="n"/>
      <c r="B451" s="51" t="n"/>
    </row>
    <row r="452">
      <c r="A452" s="40" t="n"/>
      <c r="B452" s="51" t="n"/>
    </row>
    <row r="453">
      <c r="A453" s="40" t="n"/>
      <c r="B453" s="51" t="n"/>
    </row>
    <row r="454">
      <c r="A454" s="40" t="n"/>
      <c r="B454" s="51" t="n"/>
    </row>
    <row r="455">
      <c r="A455" s="40" t="n"/>
      <c r="B455" s="51" t="n"/>
    </row>
    <row r="456">
      <c r="A456" s="40" t="n"/>
      <c r="B456" s="51" t="n"/>
    </row>
    <row r="457">
      <c r="A457" s="40" t="n"/>
      <c r="B457" s="51" t="n"/>
    </row>
    <row r="458">
      <c r="A458" s="40" t="n"/>
      <c r="B458" s="51" t="n"/>
    </row>
    <row r="459">
      <c r="A459" s="40" t="n"/>
      <c r="B459" s="51" t="n"/>
    </row>
    <row r="460">
      <c r="A460" s="40" t="n"/>
      <c r="B460" s="51" t="n"/>
    </row>
    <row r="461">
      <c r="A461" s="40" t="n"/>
      <c r="B461" s="51" t="n"/>
    </row>
    <row r="462">
      <c r="A462" s="40" t="n"/>
      <c r="B462" s="51" t="n"/>
    </row>
    <row r="463">
      <c r="A463" s="40" t="n"/>
      <c r="B463" s="51" t="n"/>
    </row>
    <row r="464">
      <c r="A464" s="40" t="n"/>
      <c r="B464" s="51" t="n"/>
    </row>
    <row r="465">
      <c r="A465" s="40" t="n"/>
      <c r="B465" s="51" t="n"/>
    </row>
    <row r="466">
      <c r="A466" s="40" t="n"/>
      <c r="B466" s="51" t="n"/>
    </row>
    <row r="467">
      <c r="A467" s="40" t="n"/>
      <c r="B467" s="51" t="n"/>
    </row>
    <row r="468">
      <c r="A468" s="40" t="n"/>
      <c r="B468" s="51" t="n"/>
    </row>
    <row r="469">
      <c r="A469" s="40" t="n"/>
      <c r="B469" s="51" t="n"/>
    </row>
    <row r="470">
      <c r="A470" s="40" t="n"/>
      <c r="B470" s="51" t="n"/>
    </row>
    <row r="471">
      <c r="A471" s="40" t="n"/>
      <c r="B471" s="51" t="n"/>
    </row>
    <row r="472">
      <c r="A472" s="40" t="n"/>
      <c r="B472" s="51" t="n"/>
    </row>
    <row r="473">
      <c r="A473" s="40" t="n"/>
      <c r="B473" s="51" t="n"/>
    </row>
    <row r="474">
      <c r="A474" s="40" t="n"/>
      <c r="B474" s="51" t="n"/>
    </row>
    <row r="475">
      <c r="A475" s="40" t="n"/>
      <c r="B475" s="51" t="n"/>
    </row>
    <row r="476">
      <c r="A476" s="40" t="n"/>
      <c r="B476" s="51" t="n"/>
    </row>
    <row r="477">
      <c r="A477" s="40" t="n"/>
      <c r="B477" s="51" t="n"/>
    </row>
    <row r="478">
      <c r="A478" s="40" t="n"/>
      <c r="B478" s="51" t="n"/>
    </row>
    <row r="479">
      <c r="A479" s="40" t="n"/>
      <c r="B479" s="51" t="n"/>
    </row>
    <row r="480">
      <c r="A480" s="40" t="n"/>
      <c r="B480" s="51" t="n"/>
    </row>
    <row r="481">
      <c r="A481" s="40" t="n"/>
      <c r="B481" s="51" t="n"/>
    </row>
    <row r="482">
      <c r="A482" s="40" t="n"/>
      <c r="B482" s="51" t="n"/>
    </row>
    <row r="483">
      <c r="A483" s="40" t="n"/>
      <c r="B483" s="51" t="n"/>
    </row>
    <row r="484">
      <c r="A484" s="40" t="n"/>
      <c r="B484" s="51" t="n"/>
    </row>
    <row r="485">
      <c r="A485" s="40" t="n"/>
      <c r="B485" s="51" t="n"/>
    </row>
    <row r="486">
      <c r="A486" s="40" t="n"/>
      <c r="B486" s="51" t="n"/>
    </row>
    <row r="487">
      <c r="A487" s="40" t="n"/>
      <c r="B487" s="51" t="n"/>
    </row>
    <row r="488">
      <c r="A488" s="40" t="n"/>
      <c r="B488" s="51" t="n"/>
    </row>
    <row r="489">
      <c r="A489" s="40" t="n"/>
      <c r="B489" s="51" t="n"/>
    </row>
    <row r="490">
      <c r="A490" s="40" t="n"/>
      <c r="B490" s="51" t="n"/>
    </row>
    <row r="491">
      <c r="A491" s="40" t="n"/>
      <c r="B491" s="51" t="n"/>
    </row>
    <row r="492">
      <c r="A492" s="40" t="n"/>
      <c r="B492" s="51" t="n"/>
    </row>
    <row r="493">
      <c r="A493" s="40" t="n"/>
      <c r="B493" s="51" t="n"/>
    </row>
    <row r="494">
      <c r="A494" s="40" t="n"/>
      <c r="B494" s="51" t="n"/>
    </row>
    <row r="495">
      <c r="A495" s="40" t="n"/>
      <c r="B495" s="51" t="n"/>
    </row>
    <row r="496">
      <c r="A496" s="40" t="n"/>
      <c r="B496" s="51" t="n"/>
    </row>
    <row r="497">
      <c r="A497" s="40" t="n"/>
      <c r="B497" s="51" t="n"/>
    </row>
    <row r="498">
      <c r="A498" s="40" t="n"/>
      <c r="B498" s="51" t="n"/>
    </row>
    <row r="499">
      <c r="A499" s="40" t="n"/>
      <c r="B499" s="51" t="n"/>
    </row>
    <row r="500">
      <c r="A500" s="40" t="n"/>
      <c r="B500" s="51" t="n"/>
    </row>
    <row r="501">
      <c r="A501" s="40" t="n"/>
      <c r="B501" s="51" t="n"/>
    </row>
    <row r="502">
      <c r="A502" s="40" t="n"/>
      <c r="B502" s="51" t="n"/>
    </row>
    <row r="503">
      <c r="A503" s="40" t="n"/>
      <c r="B503" s="51" t="n"/>
    </row>
    <row r="504">
      <c r="A504" s="40" t="n"/>
      <c r="B504" s="51" t="n"/>
    </row>
    <row r="505">
      <c r="A505" s="40" t="n"/>
      <c r="B505" s="51" t="n"/>
    </row>
    <row r="506">
      <c r="A506" s="40" t="n"/>
      <c r="B506" s="51" t="n"/>
    </row>
    <row r="507">
      <c r="A507" s="40" t="n"/>
      <c r="B507" s="51" t="n"/>
    </row>
    <row r="508">
      <c r="A508" s="40" t="n"/>
      <c r="B508" s="51" t="n"/>
    </row>
    <row r="509">
      <c r="A509" s="40" t="n"/>
      <c r="B509" s="51" t="n"/>
    </row>
    <row r="510">
      <c r="A510" s="40" t="n"/>
      <c r="B510" s="51" t="n"/>
    </row>
    <row r="511">
      <c r="A511" s="40" t="n"/>
      <c r="B511" s="51" t="n"/>
    </row>
    <row r="512">
      <c r="A512" s="40" t="n"/>
      <c r="B512" s="51" t="n"/>
    </row>
    <row r="513">
      <c r="A513" s="40" t="n"/>
      <c r="B513" s="51" t="n"/>
    </row>
    <row r="514">
      <c r="A514" s="40" t="n"/>
      <c r="B514" s="51" t="n"/>
    </row>
    <row r="515">
      <c r="A515" s="40" t="n"/>
      <c r="B515" s="51" t="n"/>
    </row>
    <row r="516">
      <c r="A516" s="40" t="n"/>
      <c r="B516" s="51" t="n"/>
    </row>
    <row r="517">
      <c r="A517" s="40" t="n"/>
      <c r="B517" s="51" t="n"/>
    </row>
    <row r="518">
      <c r="A518" s="40" t="n"/>
      <c r="B518" s="51" t="n"/>
    </row>
    <row r="519">
      <c r="A519" s="40" t="n"/>
      <c r="B519" s="51" t="n"/>
    </row>
    <row r="520">
      <c r="A520" s="40" t="n"/>
      <c r="B520" s="51" t="n"/>
    </row>
    <row r="521">
      <c r="A521" s="40" t="n"/>
      <c r="B521" s="51" t="n"/>
    </row>
    <row r="522">
      <c r="A522" s="40" t="n"/>
      <c r="B522" s="51" t="n"/>
    </row>
    <row r="523">
      <c r="A523" s="40" t="n"/>
      <c r="B523" s="51" t="n"/>
    </row>
    <row r="524">
      <c r="A524" s="40" t="n"/>
      <c r="B524" s="51" t="n"/>
    </row>
    <row r="525">
      <c r="A525" s="40" t="n"/>
      <c r="B525" s="51" t="n"/>
    </row>
    <row r="526">
      <c r="A526" s="40" t="n"/>
      <c r="B526" s="51" t="n"/>
    </row>
    <row r="527">
      <c r="A527" s="40" t="n"/>
      <c r="B527" s="51" t="n"/>
    </row>
    <row r="528">
      <c r="A528" s="40" t="n"/>
      <c r="B528" s="51" t="n"/>
    </row>
    <row r="529">
      <c r="A529" s="40" t="n"/>
      <c r="B529" s="51" t="n"/>
    </row>
    <row r="530">
      <c r="A530" s="40" t="n"/>
      <c r="B530" s="51" t="n"/>
    </row>
    <row r="531">
      <c r="A531" s="40" t="n"/>
      <c r="B531" s="51" t="n"/>
    </row>
    <row r="532">
      <c r="A532" s="40" t="n"/>
      <c r="B532" s="51" t="n"/>
    </row>
    <row r="533">
      <c r="A533" s="40" t="n"/>
      <c r="B533" s="51" t="n"/>
    </row>
    <row r="534">
      <c r="A534" s="40" t="n"/>
      <c r="B534" s="51" t="n"/>
    </row>
    <row r="535">
      <c r="A535" s="40" t="n"/>
      <c r="B535" s="51" t="n"/>
    </row>
    <row r="536">
      <c r="A536" s="40" t="n"/>
      <c r="B536" s="51" t="n"/>
    </row>
    <row r="537">
      <c r="A537" s="40" t="n"/>
      <c r="B537" s="51" t="n"/>
    </row>
    <row r="538">
      <c r="A538" s="40" t="n"/>
      <c r="B538" s="51" t="n"/>
    </row>
    <row r="539">
      <c r="A539" s="40" t="n"/>
      <c r="B539" s="51" t="n"/>
    </row>
    <row r="540">
      <c r="A540" s="40" t="n"/>
      <c r="B540" s="51" t="n"/>
    </row>
    <row r="541">
      <c r="A541" s="40" t="n"/>
      <c r="B541" s="51" t="n"/>
    </row>
    <row r="542">
      <c r="A542" s="40" t="n"/>
      <c r="B542" s="51" t="n"/>
    </row>
    <row r="543">
      <c r="A543" s="40" t="n"/>
      <c r="B543" s="51" t="n"/>
    </row>
    <row r="544">
      <c r="A544" s="40" t="n"/>
      <c r="B544" s="51" t="n"/>
    </row>
    <row r="545">
      <c r="A545" s="40" t="n"/>
      <c r="B545" s="51" t="n"/>
    </row>
    <row r="546">
      <c r="A546" s="40" t="n"/>
      <c r="B546" s="51" t="n"/>
    </row>
    <row r="547">
      <c r="A547" s="40" t="n"/>
      <c r="B547" s="51" t="n"/>
    </row>
    <row r="548">
      <c r="A548" s="40" t="n"/>
      <c r="B548" s="51" t="n"/>
    </row>
    <row r="549">
      <c r="A549" s="40" t="n"/>
      <c r="B549" s="51" t="n"/>
    </row>
    <row r="550">
      <c r="A550" s="40" t="n"/>
      <c r="B550" s="51" t="n"/>
    </row>
    <row r="551">
      <c r="A551" s="40" t="n"/>
      <c r="B551" s="51" t="n"/>
    </row>
    <row r="552">
      <c r="A552" s="40" t="n"/>
      <c r="B552" s="51" t="n"/>
    </row>
    <row r="553">
      <c r="A553" s="40" t="n"/>
      <c r="B553" s="51" t="n"/>
    </row>
    <row r="554">
      <c r="A554" s="40" t="n"/>
      <c r="B554" s="51" t="n"/>
    </row>
    <row r="555">
      <c r="A555" s="40" t="n"/>
      <c r="B555" s="51" t="n"/>
    </row>
    <row r="556">
      <c r="A556" s="40" t="n"/>
      <c r="B556" s="51" t="n"/>
    </row>
    <row r="557">
      <c r="A557" s="40" t="n"/>
      <c r="B557" s="51" t="n"/>
    </row>
    <row r="558">
      <c r="A558" s="40" t="n"/>
      <c r="B558" s="51" t="n"/>
    </row>
    <row r="559">
      <c r="A559" s="40" t="n"/>
      <c r="B559" s="51" t="n"/>
    </row>
    <row r="560">
      <c r="A560" s="40" t="n"/>
      <c r="B560" s="51" t="n"/>
    </row>
    <row r="561">
      <c r="A561" s="40" t="n"/>
      <c r="B561" s="51" t="n"/>
    </row>
    <row r="562">
      <c r="A562" s="40" t="n"/>
      <c r="B562" s="51" t="n"/>
    </row>
    <row r="563">
      <c r="A563" s="40" t="n"/>
      <c r="B563" s="51" t="n"/>
    </row>
    <row r="564">
      <c r="A564" s="40" t="n"/>
      <c r="B564" s="51" t="n"/>
    </row>
    <row r="565">
      <c r="A565" s="40" t="n"/>
      <c r="B565" s="51" t="n"/>
    </row>
    <row r="566">
      <c r="A566" s="40" t="n"/>
      <c r="B566" s="51" t="n"/>
    </row>
    <row r="567">
      <c r="A567" s="40" t="n"/>
      <c r="B567" s="51" t="n"/>
    </row>
    <row r="568">
      <c r="A568" s="40" t="n"/>
      <c r="B568" s="51" t="n"/>
    </row>
    <row r="569">
      <c r="A569" s="40" t="n"/>
      <c r="B569" s="51" t="n"/>
    </row>
    <row r="570">
      <c r="A570" s="40" t="n"/>
      <c r="B570" s="51" t="n"/>
    </row>
    <row r="571">
      <c r="A571" s="40" t="n"/>
      <c r="B571" s="51" t="n"/>
    </row>
    <row r="572">
      <c r="A572" s="40" t="n"/>
      <c r="B572" s="51" t="n"/>
    </row>
    <row r="573">
      <c r="A573" s="40" t="n"/>
      <c r="B573" s="51" t="n"/>
    </row>
    <row r="574">
      <c r="A574" s="40" t="n"/>
      <c r="B574" s="51" t="n"/>
    </row>
    <row r="575">
      <c r="A575" s="40" t="n"/>
      <c r="B575" s="51" t="n"/>
    </row>
    <row r="576">
      <c r="A576" s="40" t="n"/>
      <c r="B576" s="51" t="n"/>
    </row>
    <row r="577">
      <c r="A577" s="40" t="n"/>
      <c r="B577" s="51" t="n"/>
    </row>
    <row r="578">
      <c r="A578" s="40" t="n"/>
      <c r="B578" s="51" t="n"/>
    </row>
    <row r="579">
      <c r="A579" s="40" t="n"/>
      <c r="B579" s="51" t="n"/>
    </row>
    <row r="580">
      <c r="A580" s="40" t="n"/>
      <c r="B580" s="51" t="n"/>
    </row>
    <row r="581">
      <c r="A581" s="40" t="n"/>
      <c r="B581" s="51" t="n"/>
    </row>
    <row r="582">
      <c r="A582" s="40" t="n"/>
      <c r="B582" s="51" t="n"/>
    </row>
    <row r="583">
      <c r="A583" s="40" t="n"/>
      <c r="B583" s="51" t="n"/>
    </row>
    <row r="584">
      <c r="A584" s="40" t="n"/>
      <c r="B584" s="51" t="n"/>
    </row>
    <row r="585">
      <c r="A585" s="40" t="n"/>
      <c r="B585" s="51" t="n"/>
    </row>
    <row r="586">
      <c r="A586" s="40" t="n"/>
      <c r="B586" s="51" t="n"/>
    </row>
    <row r="587">
      <c r="A587" s="40" t="n"/>
      <c r="B587" s="51" t="n"/>
    </row>
    <row r="588">
      <c r="A588" s="40" t="n"/>
      <c r="B588" s="51" t="n"/>
    </row>
    <row r="589">
      <c r="A589" s="40" t="n"/>
      <c r="B589" s="51" t="n"/>
    </row>
    <row r="590">
      <c r="A590" s="40" t="n"/>
      <c r="B590" s="51" t="n"/>
    </row>
    <row r="591">
      <c r="A591" s="40" t="n"/>
      <c r="B591" s="51" t="n"/>
    </row>
    <row r="592">
      <c r="A592" s="40" t="n"/>
      <c r="B592" s="51" t="n"/>
    </row>
    <row r="593">
      <c r="A593" s="40" t="n"/>
      <c r="B593" s="51" t="n"/>
    </row>
    <row r="594">
      <c r="A594" s="40" t="n"/>
      <c r="B594" s="51" t="n"/>
    </row>
    <row r="595">
      <c r="A595" s="40" t="n"/>
      <c r="B595" s="51" t="n"/>
    </row>
    <row r="596">
      <c r="A596" s="40" t="n"/>
      <c r="B596" s="51" t="n"/>
    </row>
    <row r="597">
      <c r="A597" s="40" t="n"/>
      <c r="B597" s="51" t="n"/>
    </row>
    <row r="598">
      <c r="A598" s="40" t="n"/>
      <c r="B598" s="51" t="n"/>
    </row>
    <row r="599">
      <c r="A599" s="40" t="n"/>
      <c r="B599" s="51" t="n"/>
    </row>
    <row r="600">
      <c r="A600" s="40" t="n"/>
      <c r="B600" s="51" t="n"/>
    </row>
    <row r="601">
      <c r="A601" s="40" t="n"/>
      <c r="B601" s="51" t="n"/>
    </row>
    <row r="602">
      <c r="A602" s="40" t="n"/>
      <c r="B602" s="51" t="n"/>
    </row>
    <row r="603">
      <c r="A603" s="40" t="n"/>
      <c r="B603" s="51" t="n"/>
    </row>
    <row r="604">
      <c r="A604" s="40" t="n"/>
      <c r="B604" s="51" t="n"/>
    </row>
    <row r="605">
      <c r="A605" s="40" t="n"/>
      <c r="B605" s="51" t="n"/>
    </row>
    <row r="606">
      <c r="A606" s="40" t="n"/>
      <c r="B606" s="51" t="n"/>
    </row>
    <row r="607">
      <c r="A607" s="40" t="n"/>
      <c r="B607" s="51" t="n"/>
    </row>
    <row r="608">
      <c r="A608" s="40" t="n"/>
      <c r="B608" s="51" t="n"/>
    </row>
    <row r="609">
      <c r="A609" s="40" t="n"/>
      <c r="B609" s="51" t="n"/>
    </row>
    <row r="610">
      <c r="A610" s="40" t="n"/>
      <c r="B610" s="51" t="n"/>
    </row>
    <row r="611">
      <c r="A611" s="40" t="n"/>
      <c r="B611" s="51" t="n"/>
    </row>
    <row r="612">
      <c r="A612" s="40" t="n"/>
      <c r="B612" s="51" t="n"/>
    </row>
    <row r="613">
      <c r="A613" s="40" t="n"/>
      <c r="B613" s="51" t="n"/>
    </row>
    <row r="614">
      <c r="A614" s="40" t="n"/>
      <c r="B614" s="51" t="n"/>
    </row>
    <row r="615">
      <c r="A615" s="40" t="n"/>
      <c r="B615" s="51" t="n"/>
    </row>
    <row r="616">
      <c r="A616" s="40" t="n"/>
      <c r="B616" s="51" t="n"/>
    </row>
    <row r="617">
      <c r="A617" s="40" t="n"/>
      <c r="B617" s="51" t="n"/>
    </row>
    <row r="618">
      <c r="A618" s="40" t="n"/>
      <c r="B618" s="51" t="n"/>
    </row>
    <row r="619">
      <c r="A619" s="40" t="n"/>
      <c r="B619" s="51" t="n"/>
    </row>
    <row r="620">
      <c r="A620" s="40" t="n"/>
      <c r="B620" s="51" t="n"/>
    </row>
    <row r="621">
      <c r="A621" s="40" t="n"/>
      <c r="B621" s="51" t="n"/>
    </row>
    <row r="622">
      <c r="A622" s="40" t="n"/>
      <c r="B622" s="51" t="n"/>
    </row>
    <row r="623">
      <c r="A623" s="40" t="n"/>
      <c r="B623" s="51" t="n"/>
    </row>
    <row r="624">
      <c r="A624" s="40" t="n"/>
      <c r="B624" s="51" t="n"/>
    </row>
    <row r="625">
      <c r="A625" s="40" t="n"/>
      <c r="B625" s="51" t="n"/>
    </row>
    <row r="626">
      <c r="A626" s="40" t="n"/>
      <c r="B626" s="51" t="n"/>
    </row>
    <row r="627">
      <c r="A627" s="40" t="n"/>
      <c r="B627" s="51" t="n"/>
    </row>
    <row r="628">
      <c r="A628" s="40" t="n"/>
      <c r="B628" s="51" t="n"/>
    </row>
    <row r="629">
      <c r="A629" s="40" t="n"/>
      <c r="B629" s="51" t="n"/>
    </row>
    <row r="630">
      <c r="A630" s="40" t="n"/>
      <c r="B630" s="51" t="n"/>
    </row>
    <row r="631">
      <c r="A631" s="40" t="n"/>
      <c r="B631" s="51" t="n"/>
    </row>
    <row r="632">
      <c r="A632" s="40" t="n"/>
      <c r="B632" s="51" t="n"/>
    </row>
    <row r="633">
      <c r="A633" s="40" t="n"/>
      <c r="B633" s="51" t="n"/>
    </row>
    <row r="634">
      <c r="A634" s="40" t="n"/>
      <c r="B634" s="51" t="n"/>
    </row>
    <row r="635">
      <c r="A635" s="40" t="n"/>
      <c r="B635" s="51" t="n"/>
    </row>
    <row r="636">
      <c r="A636" s="40" t="n"/>
      <c r="B636" s="51" t="n"/>
    </row>
    <row r="637">
      <c r="A637" s="40" t="n"/>
      <c r="B637" s="51" t="n"/>
    </row>
    <row r="638">
      <c r="A638" s="40" t="n"/>
      <c r="B638" s="51" t="n"/>
    </row>
    <row r="639">
      <c r="A639" s="40" t="n"/>
      <c r="B639" s="51" t="n"/>
    </row>
    <row r="640">
      <c r="A640" s="40" t="n"/>
      <c r="B640" s="51" t="n"/>
    </row>
    <row r="641">
      <c r="A641" s="40" t="n"/>
      <c r="B641" s="51" t="n"/>
    </row>
    <row r="642">
      <c r="A642" s="40" t="n"/>
      <c r="B642" s="51" t="n"/>
    </row>
    <row r="643">
      <c r="A643" s="40" t="n"/>
      <c r="B643" s="51" t="n"/>
    </row>
    <row r="644">
      <c r="A644" s="40" t="n"/>
      <c r="B644" s="51" t="n"/>
    </row>
    <row r="645">
      <c r="A645" s="40" t="n"/>
      <c r="B645" s="51" t="n"/>
    </row>
    <row r="646">
      <c r="A646" s="40" t="n"/>
      <c r="B646" s="51" t="n"/>
    </row>
    <row r="647">
      <c r="A647" s="40" t="n"/>
      <c r="B647" s="51" t="n"/>
    </row>
    <row r="648">
      <c r="A648" s="40" t="n"/>
      <c r="B648" s="51" t="n"/>
    </row>
    <row r="649">
      <c r="A649" s="40" t="n"/>
      <c r="B649" s="51" t="n"/>
    </row>
    <row r="650">
      <c r="A650" s="40" t="n"/>
      <c r="B650" s="51" t="n"/>
    </row>
    <row r="651">
      <c r="A651" s="40" t="n"/>
      <c r="B651" s="51" t="n"/>
    </row>
    <row r="652">
      <c r="A652" s="40" t="n"/>
      <c r="B652" s="51" t="n"/>
    </row>
    <row r="653">
      <c r="A653" s="40" t="n"/>
      <c r="B653" s="51" t="n"/>
    </row>
    <row r="654">
      <c r="A654" s="40" t="n"/>
      <c r="B654" s="51" t="n"/>
    </row>
    <row r="655">
      <c r="A655" s="40" t="n"/>
      <c r="B655" s="51" t="n"/>
    </row>
    <row r="656">
      <c r="A656" s="40" t="n"/>
      <c r="B656" s="51" t="n"/>
    </row>
    <row r="657">
      <c r="A657" s="40" t="n"/>
      <c r="B657" s="51" t="n"/>
    </row>
    <row r="658">
      <c r="A658" s="40" t="n"/>
      <c r="B658" s="51" t="n"/>
    </row>
    <row r="659">
      <c r="A659" s="40" t="n"/>
      <c r="B659" s="51" t="n"/>
    </row>
    <row r="660">
      <c r="A660" s="40" t="n"/>
      <c r="B660" s="51" t="n"/>
    </row>
    <row r="661">
      <c r="A661" s="40" t="n"/>
      <c r="B661" s="51" t="n"/>
    </row>
    <row r="662">
      <c r="A662" s="40" t="n"/>
      <c r="B662" s="51" t="n"/>
    </row>
    <row r="663">
      <c r="A663" s="40" t="n"/>
      <c r="B663" s="51" t="n"/>
    </row>
    <row r="664">
      <c r="A664" s="40" t="n"/>
      <c r="B664" s="51" t="n"/>
    </row>
    <row r="665">
      <c r="A665" s="40" t="n"/>
      <c r="B665" s="51" t="n"/>
    </row>
    <row r="666">
      <c r="A666" s="40" t="n"/>
      <c r="B666" s="51" t="n"/>
    </row>
    <row r="667">
      <c r="A667" s="40" t="n"/>
      <c r="B667" s="51" t="n"/>
    </row>
    <row r="668">
      <c r="A668" s="40" t="n"/>
      <c r="B668" s="51" t="n"/>
    </row>
    <row r="669">
      <c r="A669" s="40" t="n"/>
      <c r="B669" s="51" t="n"/>
    </row>
    <row r="670">
      <c r="A670" s="40" t="n"/>
      <c r="B670" s="51" t="n"/>
    </row>
    <row r="671">
      <c r="A671" s="40" t="n"/>
      <c r="B671" s="51" t="n"/>
    </row>
    <row r="672">
      <c r="A672" s="40" t="n"/>
      <c r="B672" s="51" t="n"/>
    </row>
    <row r="673">
      <c r="A673" s="40" t="n"/>
      <c r="B673" s="51" t="n"/>
    </row>
    <row r="674">
      <c r="A674" s="40" t="n"/>
      <c r="B674" s="51" t="n"/>
    </row>
    <row r="675">
      <c r="A675" s="40" t="n"/>
      <c r="B675" s="51" t="n"/>
    </row>
    <row r="676">
      <c r="A676" s="40" t="n"/>
      <c r="B676" s="51" t="n"/>
    </row>
    <row r="677">
      <c r="A677" s="40" t="n"/>
      <c r="B677" s="51" t="n"/>
    </row>
    <row r="678">
      <c r="A678" s="40" t="n"/>
      <c r="B678" s="51" t="n"/>
    </row>
    <row r="679">
      <c r="A679" s="40" t="n"/>
      <c r="B679" s="51" t="n"/>
    </row>
    <row r="680">
      <c r="A680" s="40" t="n"/>
      <c r="B680" s="51" t="n"/>
    </row>
    <row r="681">
      <c r="A681" s="40" t="n"/>
      <c r="B681" s="51" t="n"/>
    </row>
    <row r="682">
      <c r="A682" s="40" t="n"/>
      <c r="B682" s="51" t="n"/>
    </row>
    <row r="683">
      <c r="A683" s="40" t="n"/>
      <c r="B683" s="51" t="n"/>
    </row>
    <row r="684">
      <c r="A684" s="40" t="n"/>
      <c r="B684" s="51" t="n"/>
    </row>
    <row r="685">
      <c r="A685" s="40" t="n"/>
      <c r="B685" s="51" t="n"/>
    </row>
    <row r="686">
      <c r="A686" s="40" t="n"/>
      <c r="B686" s="51" t="n"/>
    </row>
    <row r="687">
      <c r="A687" s="40" t="n"/>
      <c r="B687" s="51" t="n"/>
    </row>
    <row r="688">
      <c r="A688" s="40" t="n"/>
      <c r="B688" s="51" t="n"/>
    </row>
    <row r="689">
      <c r="A689" s="40" t="n"/>
      <c r="B689" s="51" t="n"/>
    </row>
    <row r="690">
      <c r="A690" s="40" t="n"/>
      <c r="B690" s="51" t="n"/>
    </row>
    <row r="691">
      <c r="A691" s="40" t="n"/>
      <c r="B691" s="51" t="n"/>
    </row>
    <row r="692">
      <c r="A692" s="40" t="n"/>
      <c r="B692" s="51" t="n"/>
    </row>
    <row r="693">
      <c r="A693" s="40" t="n"/>
      <c r="B693" s="51" t="n"/>
    </row>
    <row r="694">
      <c r="A694" s="40" t="n"/>
      <c r="B694" s="51" t="n"/>
    </row>
    <row r="695">
      <c r="A695" s="40" t="n"/>
      <c r="B695" s="51" t="n"/>
    </row>
    <row r="696">
      <c r="A696" s="40" t="n"/>
      <c r="B696" s="51" t="n"/>
    </row>
    <row r="697">
      <c r="A697" s="40" t="n"/>
      <c r="B697" s="51" t="n"/>
    </row>
    <row r="698">
      <c r="A698" s="40" t="n"/>
      <c r="B698" s="51" t="n"/>
    </row>
    <row r="699">
      <c r="A699" s="40" t="n"/>
      <c r="B699" s="51" t="n"/>
    </row>
    <row r="700">
      <c r="A700" s="40" t="n"/>
      <c r="B700" s="51" t="n"/>
    </row>
    <row r="701">
      <c r="A701" s="40" t="n"/>
      <c r="B701" s="51" t="n"/>
    </row>
    <row r="702">
      <c r="A702" s="40" t="n"/>
      <c r="B702" s="51" t="n"/>
    </row>
    <row r="703">
      <c r="A703" s="40" t="n"/>
      <c r="B703" s="51" t="n"/>
    </row>
    <row r="704">
      <c r="A704" s="40" t="n"/>
      <c r="B704" s="51" t="n"/>
    </row>
    <row r="705">
      <c r="A705" s="40" t="n"/>
      <c r="B705" s="51" t="n"/>
    </row>
    <row r="706">
      <c r="A706" s="40" t="n"/>
      <c r="B706" s="51" t="n"/>
    </row>
    <row r="707">
      <c r="A707" s="40" t="n"/>
      <c r="B707" s="51" t="n"/>
    </row>
    <row r="708">
      <c r="A708" s="40" t="n"/>
      <c r="B708" s="51" t="n"/>
    </row>
    <row r="709">
      <c r="A709" s="40" t="n"/>
      <c r="B709" s="51" t="n"/>
    </row>
    <row r="710">
      <c r="A710" s="40" t="n"/>
      <c r="B710" s="51" t="n"/>
    </row>
    <row r="711">
      <c r="A711" s="40" t="n"/>
      <c r="B711" s="51" t="n"/>
    </row>
    <row r="712">
      <c r="A712" s="40" t="n"/>
      <c r="B712" s="51" t="n"/>
    </row>
    <row r="713">
      <c r="A713" s="40" t="n"/>
      <c r="B713" s="51" t="n"/>
    </row>
    <row r="714">
      <c r="A714" s="40" t="n"/>
      <c r="B714" s="51" t="n"/>
    </row>
    <row r="715">
      <c r="A715" s="40" t="n"/>
      <c r="B715" s="51" t="n"/>
    </row>
    <row r="716">
      <c r="A716" s="40" t="n"/>
      <c r="B716" s="51" t="n"/>
    </row>
    <row r="717">
      <c r="A717" s="40" t="n"/>
      <c r="B717" s="51" t="n"/>
    </row>
    <row r="718">
      <c r="A718" s="40" t="n"/>
      <c r="B718" s="51" t="n"/>
    </row>
    <row r="719">
      <c r="A719" s="40" t="n"/>
      <c r="B719" s="51" t="n"/>
    </row>
    <row r="720">
      <c r="A720" s="40" t="n"/>
      <c r="B720" s="51" t="n"/>
    </row>
    <row r="721">
      <c r="A721" s="40" t="n"/>
      <c r="B721" s="51" t="n"/>
    </row>
    <row r="722">
      <c r="A722" s="40" t="n"/>
      <c r="B722" s="51" t="n"/>
    </row>
    <row r="723">
      <c r="A723" s="40" t="n"/>
      <c r="B723" s="51" t="n"/>
    </row>
    <row r="724">
      <c r="A724" s="40" t="n"/>
      <c r="B724" s="51" t="n"/>
    </row>
    <row r="725">
      <c r="A725" s="40" t="n"/>
      <c r="B725" s="51" t="n"/>
    </row>
    <row r="726">
      <c r="A726" s="40" t="n"/>
      <c r="B726" s="51" t="n"/>
    </row>
    <row r="727">
      <c r="A727" s="40" t="n"/>
      <c r="B727" s="51" t="n"/>
    </row>
    <row r="728">
      <c r="A728" s="40" t="n"/>
      <c r="B728" s="51" t="n"/>
    </row>
    <row r="729">
      <c r="A729" s="40" t="n"/>
      <c r="B729" s="51" t="n"/>
    </row>
    <row r="730">
      <c r="A730" s="40" t="n"/>
      <c r="B730" s="51" t="n"/>
    </row>
    <row r="731">
      <c r="A731" s="40" t="n"/>
      <c r="B731" s="51" t="n"/>
    </row>
    <row r="732">
      <c r="A732" s="40" t="n"/>
      <c r="B732" s="51" t="n"/>
    </row>
    <row r="733">
      <c r="A733" s="40" t="n"/>
      <c r="B733" s="51" t="n"/>
    </row>
    <row r="734">
      <c r="A734" s="40" t="n"/>
      <c r="B734" s="51" t="n"/>
    </row>
    <row r="735">
      <c r="A735" s="40" t="n"/>
      <c r="B735" s="51" t="n"/>
    </row>
    <row r="736">
      <c r="A736" s="40" t="n"/>
      <c r="B736" s="51" t="n"/>
    </row>
    <row r="737">
      <c r="A737" s="40" t="n"/>
      <c r="B737" s="51" t="n"/>
    </row>
    <row r="738">
      <c r="A738" s="40" t="n"/>
      <c r="B738" s="51" t="n"/>
    </row>
    <row r="739">
      <c r="A739" s="40" t="n"/>
      <c r="B739" s="51" t="n"/>
    </row>
    <row r="740">
      <c r="A740" s="40" t="n"/>
      <c r="B740" s="51" t="n"/>
    </row>
    <row r="741">
      <c r="A741" s="40" t="n"/>
      <c r="B741" s="51" t="n"/>
    </row>
    <row r="742">
      <c r="A742" s="40" t="n"/>
      <c r="B742" s="51" t="n"/>
    </row>
    <row r="743">
      <c r="A743" s="40" t="n"/>
      <c r="B743" s="51" t="n"/>
    </row>
    <row r="744">
      <c r="A744" s="40" t="n"/>
      <c r="B744" s="51" t="n"/>
    </row>
    <row r="745">
      <c r="A745" s="40" t="n"/>
      <c r="B745" s="51" t="n"/>
    </row>
    <row r="746">
      <c r="A746" s="40" t="n"/>
      <c r="B746" s="51" t="n"/>
    </row>
    <row r="747">
      <c r="A747" s="40" t="n"/>
      <c r="B747" s="51" t="n"/>
    </row>
    <row r="748">
      <c r="A748" s="40" t="n"/>
      <c r="B748" s="51" t="n"/>
    </row>
    <row r="749">
      <c r="A749" s="40" t="n"/>
      <c r="B749" s="51" t="n"/>
    </row>
    <row r="750">
      <c r="A750" s="40" t="n"/>
      <c r="B750" s="51" t="n"/>
    </row>
    <row r="751">
      <c r="A751" s="40" t="n"/>
      <c r="B751" s="51" t="n"/>
    </row>
    <row r="752">
      <c r="A752" s="40" t="n"/>
      <c r="B752" s="51" t="n"/>
    </row>
    <row r="753">
      <c r="A753" s="40" t="n"/>
      <c r="B753" s="51" t="n"/>
    </row>
    <row r="754">
      <c r="A754" s="40" t="n"/>
      <c r="B754" s="51" t="n"/>
    </row>
    <row r="755">
      <c r="A755" s="40" t="n"/>
      <c r="B755" s="51" t="n"/>
    </row>
    <row r="756">
      <c r="A756" s="40" t="n"/>
      <c r="B756" s="51" t="n"/>
    </row>
    <row r="757">
      <c r="A757" s="40" t="n"/>
      <c r="B757" s="51" t="n"/>
    </row>
    <row r="758">
      <c r="A758" s="40" t="n"/>
      <c r="B758" s="51" t="n"/>
    </row>
    <row r="759">
      <c r="A759" s="40" t="n"/>
      <c r="B759" s="51" t="n"/>
    </row>
    <row r="760">
      <c r="A760" s="40" t="n"/>
      <c r="B760" s="51" t="n"/>
    </row>
    <row r="761">
      <c r="A761" s="40" t="n"/>
      <c r="B761" s="51" t="n"/>
    </row>
    <row r="762">
      <c r="A762" s="40" t="n"/>
      <c r="B762" s="51" t="n"/>
    </row>
    <row r="763">
      <c r="A763" s="40" t="n"/>
      <c r="B763" s="51" t="n"/>
    </row>
    <row r="764">
      <c r="A764" s="40" t="n"/>
      <c r="B764" s="51" t="n"/>
    </row>
    <row r="765">
      <c r="A765" s="40" t="n"/>
      <c r="B765" s="51" t="n"/>
    </row>
    <row r="766">
      <c r="A766" s="40" t="n"/>
      <c r="B766" s="51" t="n"/>
    </row>
    <row r="767">
      <c r="A767" s="40" t="n"/>
      <c r="B767" s="51" t="n"/>
    </row>
    <row r="768">
      <c r="A768" s="40" t="n"/>
      <c r="B768" s="51" t="n"/>
    </row>
    <row r="769">
      <c r="A769" s="40" t="n"/>
      <c r="B769" s="51" t="n"/>
    </row>
    <row r="770">
      <c r="A770" s="40" t="n"/>
      <c r="B770" s="51" t="n"/>
    </row>
    <row r="771">
      <c r="A771" s="40" t="n"/>
      <c r="B771" s="51" t="n"/>
    </row>
    <row r="772">
      <c r="A772" s="40" t="n"/>
      <c r="B772" s="51" t="n"/>
    </row>
    <row r="773">
      <c r="A773" s="40" t="n"/>
      <c r="B773" s="51" t="n"/>
    </row>
    <row r="774">
      <c r="A774" s="40" t="n"/>
      <c r="B774" s="51" t="n"/>
    </row>
    <row r="775">
      <c r="A775" s="40" t="n"/>
      <c r="B775" s="51" t="n"/>
    </row>
    <row r="776">
      <c r="A776" s="40" t="n"/>
      <c r="B776" s="51" t="n"/>
    </row>
    <row r="777">
      <c r="A777" s="40" t="n"/>
      <c r="B777" s="51" t="n"/>
    </row>
    <row r="778">
      <c r="A778" s="40" t="n"/>
      <c r="B778" s="51" t="n"/>
    </row>
    <row r="779">
      <c r="A779" s="40" t="n"/>
      <c r="B779" s="51" t="n"/>
    </row>
    <row r="780">
      <c r="A780" s="40" t="n"/>
      <c r="B780" s="51" t="n"/>
    </row>
    <row r="781">
      <c r="A781" s="40" t="n"/>
      <c r="B781" s="51" t="n"/>
    </row>
    <row r="782">
      <c r="A782" s="40" t="n"/>
      <c r="B782" s="51" t="n"/>
    </row>
    <row r="783">
      <c r="A783" s="40" t="n"/>
      <c r="B783" s="51" t="n"/>
    </row>
    <row r="784">
      <c r="A784" s="40" t="n"/>
      <c r="B784" s="51" t="n"/>
    </row>
    <row r="785">
      <c r="A785" s="40" t="n"/>
      <c r="B785" s="51" t="n"/>
    </row>
    <row r="786">
      <c r="A786" s="40" t="n"/>
      <c r="B786" s="51" t="n"/>
    </row>
    <row r="787">
      <c r="A787" s="40" t="n"/>
      <c r="B787" s="51" t="n"/>
    </row>
    <row r="788">
      <c r="A788" s="40" t="n"/>
      <c r="B788" s="51" t="n"/>
    </row>
    <row r="789">
      <c r="A789" s="40" t="n"/>
      <c r="B789" s="51" t="n"/>
    </row>
    <row r="790">
      <c r="A790" s="40" t="n"/>
      <c r="B790" s="51" t="n"/>
    </row>
    <row r="791">
      <c r="A791" s="40" t="n"/>
      <c r="B791" s="51" t="n"/>
    </row>
    <row r="792">
      <c r="A792" s="40" t="n"/>
      <c r="B792" s="51" t="n"/>
    </row>
    <row r="793">
      <c r="A793" s="40" t="n"/>
      <c r="B793" s="51" t="n"/>
    </row>
    <row r="794">
      <c r="A794" s="40" t="n"/>
      <c r="B794" s="51" t="n"/>
    </row>
    <row r="795">
      <c r="A795" s="40" t="n"/>
      <c r="B795" s="51" t="n"/>
    </row>
    <row r="796">
      <c r="A796" s="40" t="n"/>
      <c r="B796" s="51" t="n"/>
    </row>
    <row r="797">
      <c r="A797" s="40" t="n"/>
      <c r="B797" s="51" t="n"/>
    </row>
    <row r="798">
      <c r="A798" s="40" t="n"/>
      <c r="B798" s="51" t="n"/>
    </row>
    <row r="799">
      <c r="A799" s="40" t="n"/>
      <c r="B799" s="51" t="n"/>
    </row>
    <row r="800">
      <c r="A800" s="40" t="n"/>
      <c r="B800" s="51" t="n"/>
    </row>
    <row r="801">
      <c r="A801" s="40" t="n"/>
      <c r="B801" s="51" t="n"/>
    </row>
    <row r="802">
      <c r="A802" s="40" t="n"/>
      <c r="B802" s="51" t="n"/>
    </row>
    <row r="803">
      <c r="A803" s="40" t="n"/>
      <c r="B803" s="51" t="n"/>
    </row>
    <row r="804">
      <c r="A804" s="40" t="n"/>
      <c r="B804" s="51" t="n"/>
    </row>
    <row r="805">
      <c r="A805" s="40" t="n"/>
      <c r="B805" s="51" t="n"/>
    </row>
    <row r="806">
      <c r="A806" s="40" t="n"/>
      <c r="B806" s="51" t="n"/>
    </row>
    <row r="807">
      <c r="A807" s="40" t="n"/>
      <c r="B807" s="51" t="n"/>
    </row>
    <row r="808">
      <c r="A808" s="40" t="n"/>
      <c r="B808" s="51" t="n"/>
    </row>
    <row r="809">
      <c r="A809" s="40" t="n"/>
      <c r="B809" s="51" t="n"/>
    </row>
    <row r="810">
      <c r="A810" s="40" t="n"/>
      <c r="B810" s="51" t="n"/>
    </row>
    <row r="811">
      <c r="A811" s="40" t="n"/>
      <c r="B811" s="51" t="n"/>
    </row>
    <row r="812">
      <c r="A812" s="40" t="n"/>
      <c r="B812" s="51" t="n"/>
    </row>
    <row r="813">
      <c r="A813" s="40" t="n"/>
      <c r="B813" s="51" t="n"/>
    </row>
    <row r="814">
      <c r="A814" s="40" t="n"/>
      <c r="B814" s="51" t="n"/>
    </row>
    <row r="815">
      <c r="A815" s="40" t="n"/>
      <c r="B815" s="51" t="n"/>
    </row>
    <row r="816">
      <c r="A816" s="40" t="n"/>
      <c r="B816" s="51" t="n"/>
    </row>
    <row r="817">
      <c r="A817" s="40" t="n"/>
      <c r="B817" s="51" t="n"/>
    </row>
    <row r="818">
      <c r="A818" s="40" t="n"/>
      <c r="B818" s="51" t="n"/>
    </row>
    <row r="819">
      <c r="A819" s="40" t="n"/>
      <c r="B819" s="51" t="n"/>
    </row>
    <row r="820">
      <c r="A820" s="40" t="n"/>
      <c r="B820" s="51" t="n"/>
    </row>
    <row r="821">
      <c r="A821" s="40" t="n"/>
      <c r="B821" s="51" t="n"/>
    </row>
    <row r="822">
      <c r="A822" s="40" t="n"/>
      <c r="B822" s="51" t="n"/>
    </row>
    <row r="823">
      <c r="A823" s="40" t="n"/>
      <c r="B823" s="51" t="n"/>
    </row>
    <row r="824">
      <c r="A824" s="40" t="n"/>
      <c r="B824" s="51" t="n"/>
    </row>
    <row r="825">
      <c r="A825" s="40" t="n"/>
      <c r="B825" s="51" t="n"/>
    </row>
    <row r="826">
      <c r="A826" s="40" t="n"/>
      <c r="B826" s="51" t="n"/>
    </row>
    <row r="827">
      <c r="A827" s="40" t="n"/>
      <c r="B827" s="51" t="n"/>
    </row>
    <row r="828">
      <c r="A828" s="40" t="n"/>
      <c r="B828" s="51" t="n"/>
    </row>
    <row r="829">
      <c r="A829" s="40" t="n"/>
      <c r="B829" s="51" t="n"/>
    </row>
    <row r="830">
      <c r="A830" s="40" t="n"/>
      <c r="B830" s="51" t="n"/>
    </row>
    <row r="831">
      <c r="A831" s="40" t="n"/>
      <c r="B831" s="51" t="n"/>
    </row>
    <row r="832">
      <c r="A832" s="40" t="n"/>
      <c r="B832" s="51" t="n"/>
    </row>
    <row r="833">
      <c r="A833" s="40" t="n"/>
      <c r="B833" s="51" t="n"/>
    </row>
    <row r="834">
      <c r="A834" s="40" t="n"/>
      <c r="B834" s="51" t="n"/>
    </row>
    <row r="835">
      <c r="A835" s="40" t="n"/>
      <c r="B835" s="51" t="n"/>
    </row>
    <row r="836">
      <c r="A836" s="40" t="n"/>
      <c r="B836" s="51" t="n"/>
    </row>
    <row r="837">
      <c r="A837" s="40" t="n"/>
      <c r="B837" s="51" t="n"/>
    </row>
    <row r="838">
      <c r="A838" s="40" t="n"/>
      <c r="B838" s="51" t="n"/>
    </row>
    <row r="839">
      <c r="A839" s="40" t="n"/>
      <c r="B839" s="51" t="n"/>
    </row>
    <row r="840">
      <c r="A840" s="40" t="n"/>
      <c r="B840" s="51" t="n"/>
    </row>
    <row r="841">
      <c r="A841" s="40" t="n"/>
      <c r="B841" s="51" t="n"/>
    </row>
    <row r="842">
      <c r="A842" s="40" t="n"/>
      <c r="B842" s="51" t="n"/>
    </row>
    <row r="843">
      <c r="A843" s="40" t="n"/>
      <c r="B843" s="51" t="n"/>
    </row>
    <row r="844">
      <c r="A844" s="40" t="n"/>
      <c r="B844" s="51" t="n"/>
    </row>
    <row r="845">
      <c r="A845" s="40" t="n"/>
      <c r="B845" s="51" t="n"/>
    </row>
    <row r="846">
      <c r="A846" s="40" t="n"/>
      <c r="B846" s="51" t="n"/>
    </row>
    <row r="847">
      <c r="A847" s="40" t="n"/>
      <c r="B847" s="51" t="n"/>
    </row>
    <row r="848">
      <c r="A848" s="40" t="n"/>
      <c r="B848" s="51" t="n"/>
    </row>
    <row r="849">
      <c r="A849" s="40" t="n"/>
      <c r="B849" s="51" t="n"/>
    </row>
    <row r="850">
      <c r="A850" s="40" t="n"/>
      <c r="B850" s="51" t="n"/>
    </row>
    <row r="851">
      <c r="A851" s="40" t="n"/>
      <c r="B851" s="51" t="n"/>
    </row>
    <row r="852">
      <c r="A852" s="40" t="n"/>
      <c r="B852" s="51" t="n"/>
    </row>
    <row r="853">
      <c r="A853" s="40" t="n"/>
      <c r="B853" s="51" t="n"/>
    </row>
    <row r="854">
      <c r="A854" s="40" t="n"/>
      <c r="B854" s="51" t="n"/>
    </row>
    <row r="855">
      <c r="A855" s="40" t="n"/>
      <c r="B855" s="51" t="n"/>
    </row>
    <row r="856">
      <c r="A856" s="40" t="n"/>
      <c r="B856" s="51" t="n"/>
    </row>
    <row r="857">
      <c r="A857" s="40" t="n"/>
      <c r="B857" s="51" t="n"/>
    </row>
    <row r="858">
      <c r="A858" s="40" t="n"/>
      <c r="B858" s="51" t="n"/>
    </row>
    <row r="859">
      <c r="A859" s="40" t="n"/>
      <c r="B859" s="51" t="n"/>
    </row>
    <row r="860">
      <c r="A860" s="40" t="n"/>
      <c r="B860" s="51" t="n"/>
    </row>
    <row r="861">
      <c r="A861" s="40" t="n"/>
      <c r="B861" s="51" t="n"/>
    </row>
    <row r="862">
      <c r="A862" s="40" t="n"/>
      <c r="B862" s="51" t="n"/>
    </row>
    <row r="863">
      <c r="A863" s="40" t="n"/>
      <c r="B863" s="51" t="n"/>
    </row>
    <row r="864">
      <c r="A864" s="40" t="n"/>
      <c r="B864" s="51" t="n"/>
    </row>
    <row r="865">
      <c r="A865" s="40" t="n"/>
      <c r="B865" s="51" t="n"/>
    </row>
    <row r="866">
      <c r="A866" s="40" t="n"/>
      <c r="B866" s="51" t="n"/>
    </row>
    <row r="867">
      <c r="A867" s="40" t="n"/>
      <c r="B867" s="51" t="n"/>
    </row>
    <row r="868">
      <c r="A868" s="40" t="n"/>
      <c r="B868" s="51" t="n"/>
    </row>
    <row r="869">
      <c r="A869" s="40" t="n"/>
      <c r="B869" s="51" t="n"/>
    </row>
    <row r="870">
      <c r="A870" s="40" t="n"/>
      <c r="B870" s="51" t="n"/>
    </row>
    <row r="871">
      <c r="A871" s="40" t="n"/>
      <c r="B871" s="51" t="n"/>
    </row>
    <row r="872">
      <c r="A872" s="40" t="n"/>
      <c r="B872" s="51" t="n"/>
    </row>
    <row r="873">
      <c r="A873" s="40" t="n"/>
      <c r="B873" s="51" t="n"/>
    </row>
    <row r="874">
      <c r="A874" s="40" t="n"/>
      <c r="B874" s="51" t="n"/>
    </row>
    <row r="875">
      <c r="A875" s="40" t="n"/>
      <c r="B875" s="51" t="n"/>
    </row>
    <row r="876">
      <c r="A876" s="40" t="n"/>
      <c r="B876" s="51" t="n"/>
    </row>
    <row r="877">
      <c r="A877" s="40" t="n"/>
      <c r="B877" s="51" t="n"/>
    </row>
    <row r="878">
      <c r="A878" s="40" t="n"/>
      <c r="B878" s="51" t="n"/>
    </row>
    <row r="879">
      <c r="A879" s="40" t="n"/>
      <c r="B879" s="51" t="n"/>
    </row>
    <row r="880">
      <c r="A880" s="40" t="n"/>
      <c r="B880" s="51" t="n"/>
    </row>
    <row r="881">
      <c r="A881" s="40" t="n"/>
      <c r="B881" s="51" t="n"/>
    </row>
    <row r="882">
      <c r="A882" s="40" t="n"/>
      <c r="B882" s="51" t="n"/>
    </row>
    <row r="883">
      <c r="A883" s="40" t="n"/>
      <c r="B883" s="51" t="n"/>
    </row>
    <row r="884">
      <c r="A884" s="40" t="n"/>
      <c r="B884" s="51" t="n"/>
    </row>
    <row r="885">
      <c r="A885" s="40" t="n"/>
      <c r="B885" s="51" t="n"/>
    </row>
    <row r="886">
      <c r="A886" s="40" t="n"/>
      <c r="B886" s="51" t="n"/>
    </row>
    <row r="887">
      <c r="A887" s="40" t="n"/>
      <c r="B887" s="51" t="n"/>
    </row>
    <row r="888">
      <c r="A888" s="40" t="n"/>
      <c r="B888" s="51" t="n"/>
    </row>
    <row r="889">
      <c r="A889" s="40" t="n"/>
      <c r="B889" s="51" t="n"/>
    </row>
    <row r="890">
      <c r="A890" s="40" t="n"/>
      <c r="B890" s="51" t="n"/>
    </row>
    <row r="891">
      <c r="A891" s="40" t="n"/>
      <c r="B891" s="51" t="n"/>
    </row>
    <row r="892">
      <c r="A892" s="40" t="n"/>
      <c r="B892" s="51" t="n"/>
    </row>
    <row r="893">
      <c r="A893" s="40" t="n"/>
      <c r="B893" s="51" t="n"/>
    </row>
    <row r="894">
      <c r="A894" s="40" t="n"/>
      <c r="B894" s="51" t="n"/>
    </row>
    <row r="895">
      <c r="A895" s="40" t="n"/>
      <c r="B895" s="51" t="n"/>
    </row>
    <row r="896">
      <c r="A896" s="40" t="n"/>
      <c r="B896" s="51" t="n"/>
    </row>
    <row r="897">
      <c r="A897" s="40" t="n"/>
      <c r="B897" s="51" t="n"/>
    </row>
    <row r="898">
      <c r="A898" s="40" t="n"/>
      <c r="B898" s="51" t="n"/>
    </row>
    <row r="899">
      <c r="A899" s="40" t="n"/>
      <c r="B899" s="51" t="n"/>
    </row>
    <row r="900">
      <c r="A900" s="40" t="n"/>
      <c r="B900" s="51" t="n"/>
    </row>
    <row r="901">
      <c r="A901" s="40" t="n"/>
      <c r="B901" s="51" t="n"/>
    </row>
    <row r="902">
      <c r="A902" s="40" t="n"/>
      <c r="B902" s="51" t="n"/>
    </row>
    <row r="903">
      <c r="A903" s="40" t="n"/>
      <c r="B903" s="51" t="n"/>
    </row>
    <row r="904">
      <c r="A904" s="40" t="n"/>
      <c r="B904" s="51" t="n"/>
    </row>
    <row r="905">
      <c r="A905" s="40" t="n"/>
      <c r="B905" s="51" t="n"/>
    </row>
    <row r="906">
      <c r="A906" s="40" t="n"/>
      <c r="B906" s="51" t="n"/>
    </row>
    <row r="907">
      <c r="A907" s="40" t="n"/>
      <c r="B907" s="51" t="n"/>
    </row>
    <row r="908">
      <c r="A908" s="40" t="n"/>
      <c r="B908" s="51" t="n"/>
    </row>
    <row r="909">
      <c r="A909" s="40" t="n"/>
      <c r="B909" s="51" t="n"/>
    </row>
    <row r="910">
      <c r="A910" s="40" t="n"/>
      <c r="B910" s="51" t="n"/>
    </row>
    <row r="911">
      <c r="A911" s="40" t="n"/>
      <c r="B911" s="51" t="n"/>
    </row>
    <row r="912">
      <c r="A912" s="40" t="n"/>
      <c r="B912" s="51" t="n"/>
    </row>
    <row r="913">
      <c r="A913" s="40" t="n"/>
      <c r="B913" s="51" t="n"/>
    </row>
    <row r="914">
      <c r="A914" s="40" t="n"/>
      <c r="B914" s="51" t="n"/>
    </row>
    <row r="915">
      <c r="A915" s="40" t="n"/>
      <c r="B915" s="51" t="n"/>
    </row>
    <row r="916">
      <c r="A916" s="40" t="n"/>
      <c r="B916" s="51" t="n"/>
    </row>
    <row r="917">
      <c r="A917" s="40" t="n"/>
      <c r="B917" s="51" t="n"/>
    </row>
    <row r="918">
      <c r="A918" s="40" t="n"/>
      <c r="B918" s="51" t="n"/>
    </row>
    <row r="919">
      <c r="A919" s="40" t="n"/>
      <c r="B919" s="51" t="n"/>
    </row>
    <row r="920">
      <c r="A920" s="40" t="n"/>
      <c r="B920" s="51" t="n"/>
    </row>
    <row r="921">
      <c r="A921" s="40" t="n"/>
      <c r="B921" s="51" t="n"/>
    </row>
    <row r="922">
      <c r="A922" s="40" t="n"/>
      <c r="B922" s="51" t="n"/>
    </row>
    <row r="923">
      <c r="A923" s="40" t="n"/>
      <c r="B923" s="51" t="n"/>
    </row>
    <row r="924">
      <c r="A924" s="40" t="n"/>
      <c r="B924" s="51" t="n"/>
    </row>
    <row r="925">
      <c r="A925" s="40" t="n"/>
      <c r="B925" s="51" t="n"/>
    </row>
    <row r="926">
      <c r="A926" s="40" t="n"/>
      <c r="B926" s="51" t="n"/>
    </row>
    <row r="927">
      <c r="A927" s="40" t="n"/>
      <c r="B927" s="51" t="n"/>
    </row>
    <row r="928">
      <c r="A928" s="40" t="n"/>
      <c r="B928" s="51" t="n"/>
    </row>
    <row r="929">
      <c r="A929" s="40" t="n"/>
      <c r="B929" s="51" t="n"/>
    </row>
    <row r="930">
      <c r="A930" s="40" t="n"/>
      <c r="B930" s="51" t="n"/>
    </row>
    <row r="931">
      <c r="A931" s="40" t="n"/>
      <c r="B931" s="51" t="n"/>
    </row>
    <row r="932">
      <c r="A932" s="40" t="n"/>
      <c r="B932" s="51" t="n"/>
    </row>
    <row r="933">
      <c r="A933" s="40" t="n"/>
      <c r="B933" s="51" t="n"/>
    </row>
    <row r="934">
      <c r="A934" s="40" t="n"/>
      <c r="B934" s="51" t="n"/>
    </row>
    <row r="935">
      <c r="A935" s="40" t="n"/>
      <c r="B935" s="51" t="n"/>
    </row>
    <row r="936">
      <c r="A936" s="40" t="n"/>
      <c r="B936" s="51" t="n"/>
    </row>
    <row r="937">
      <c r="A937" s="40" t="n"/>
      <c r="B937" s="51" t="n"/>
    </row>
    <row r="938">
      <c r="A938" s="40" t="n"/>
      <c r="B938" s="51" t="n"/>
    </row>
    <row r="939">
      <c r="A939" s="40" t="n"/>
      <c r="B939" s="51" t="n"/>
    </row>
    <row r="940">
      <c r="A940" s="40" t="n"/>
      <c r="B940" s="51" t="n"/>
    </row>
    <row r="941">
      <c r="A941" s="40" t="n"/>
      <c r="B941" s="51" t="n"/>
    </row>
    <row r="942">
      <c r="A942" s="40" t="n"/>
      <c r="B942" s="51" t="n"/>
    </row>
    <row r="943">
      <c r="A943" s="40" t="n"/>
      <c r="B943" s="51" t="n"/>
    </row>
    <row r="944">
      <c r="A944" s="40" t="n"/>
      <c r="B944" s="51" t="n"/>
    </row>
    <row r="945">
      <c r="A945" s="40" t="n"/>
      <c r="B945" s="51" t="n"/>
    </row>
    <row r="946">
      <c r="A946" s="40" t="n"/>
      <c r="B946" s="51" t="n"/>
    </row>
    <row r="947">
      <c r="A947" s="40" t="n"/>
      <c r="B947" s="51" t="n"/>
    </row>
    <row r="948">
      <c r="A948" s="40" t="n"/>
      <c r="B948" s="51" t="n"/>
    </row>
    <row r="949">
      <c r="A949" s="40" t="n"/>
      <c r="B949" s="51" t="n"/>
    </row>
    <row r="950">
      <c r="A950" s="40" t="n"/>
      <c r="B950" s="51" t="n"/>
    </row>
    <row r="951">
      <c r="A951" s="40" t="n"/>
      <c r="B951" s="51" t="n"/>
    </row>
    <row r="952">
      <c r="A952" s="40" t="n"/>
      <c r="B952" s="51" t="n"/>
    </row>
    <row r="953">
      <c r="A953" s="40" t="n"/>
      <c r="B953" s="51" t="n"/>
    </row>
    <row r="954">
      <c r="A954" s="40" t="n"/>
      <c r="B954" s="51" t="n"/>
    </row>
    <row r="955">
      <c r="A955" s="40" t="n"/>
      <c r="B955" s="51" t="n"/>
    </row>
    <row r="956">
      <c r="A956" s="40" t="n"/>
      <c r="B956" s="51" t="n"/>
    </row>
    <row r="957">
      <c r="A957" s="40" t="n"/>
      <c r="B957" s="51" t="n"/>
    </row>
    <row r="958">
      <c r="A958" s="40" t="n"/>
      <c r="B958" s="51" t="n"/>
    </row>
    <row r="959">
      <c r="A959" s="40" t="n"/>
      <c r="B959" s="51" t="n"/>
    </row>
    <row r="960">
      <c r="A960" s="40" t="n"/>
      <c r="B960" s="51" t="n"/>
    </row>
    <row r="961">
      <c r="A961" s="40" t="n"/>
      <c r="B961" s="51" t="n"/>
    </row>
    <row r="962">
      <c r="A962" s="40" t="n"/>
      <c r="B962" s="51" t="n"/>
    </row>
    <row r="963">
      <c r="A963" s="40" t="n"/>
      <c r="B963" s="51" t="n"/>
    </row>
    <row r="964">
      <c r="A964" s="40" t="n"/>
      <c r="B964" s="51" t="n"/>
    </row>
    <row r="965">
      <c r="A965" s="40" t="n"/>
      <c r="B965" s="51" t="n"/>
    </row>
    <row r="966">
      <c r="A966" s="40" t="n"/>
      <c r="B966" s="51" t="n"/>
    </row>
    <row r="967">
      <c r="A967" s="40" t="n"/>
      <c r="B967" s="51" t="n"/>
    </row>
    <row r="968">
      <c r="A968" s="40" t="n"/>
      <c r="B968" s="51" t="n"/>
    </row>
    <row r="969">
      <c r="A969" s="40" t="n"/>
      <c r="B969" s="51" t="n"/>
    </row>
    <row r="970">
      <c r="A970" s="40" t="n"/>
      <c r="B970" s="51" t="n"/>
    </row>
    <row r="971">
      <c r="A971" s="40" t="n"/>
      <c r="B971" s="51" t="n"/>
    </row>
    <row r="972">
      <c r="A972" s="40" t="n"/>
      <c r="B972" s="51" t="n"/>
    </row>
    <row r="973">
      <c r="A973" s="40" t="n"/>
      <c r="B973" s="51" t="n"/>
    </row>
    <row r="974">
      <c r="A974" s="40" t="n"/>
      <c r="B974" s="51" t="n"/>
    </row>
    <row r="975">
      <c r="A975" s="40" t="n"/>
      <c r="B975" s="51" t="n"/>
    </row>
    <row r="976">
      <c r="A976" s="40" t="n"/>
      <c r="B976" s="51" t="n"/>
    </row>
    <row r="977">
      <c r="A977" s="40" t="n"/>
      <c r="B977" s="51" t="n"/>
    </row>
    <row r="978">
      <c r="A978" s="40" t="n"/>
      <c r="B978" s="51" t="n"/>
    </row>
    <row r="979">
      <c r="A979" s="40" t="n"/>
      <c r="B979" s="51" t="n"/>
    </row>
    <row r="980">
      <c r="A980" s="40" t="n"/>
      <c r="B980" s="51" t="n"/>
    </row>
    <row r="981">
      <c r="A981" s="40" t="n"/>
      <c r="B981" s="51" t="n"/>
    </row>
    <row r="982">
      <c r="A982" s="40" t="n"/>
      <c r="B982" s="51" t="n"/>
    </row>
    <row r="983">
      <c r="A983" s="40" t="n"/>
      <c r="B983" s="51" t="n"/>
    </row>
    <row r="984">
      <c r="A984" s="40" t="n"/>
      <c r="B984" s="51" t="n"/>
    </row>
    <row r="985">
      <c r="A985" s="40" t="n"/>
      <c r="B985" s="51" t="n"/>
    </row>
    <row r="986">
      <c r="A986" s="40" t="n"/>
      <c r="B986" s="51" t="n"/>
    </row>
    <row r="987">
      <c r="A987" s="40" t="n"/>
      <c r="B987" s="51" t="n"/>
    </row>
    <row r="988">
      <c r="A988" s="40" t="n"/>
      <c r="B988" s="51" t="n"/>
    </row>
    <row r="989">
      <c r="A989" s="40" t="n"/>
      <c r="B989" s="51" t="n"/>
    </row>
    <row r="990">
      <c r="A990" s="40" t="n"/>
      <c r="B990" s="51" t="n"/>
    </row>
    <row r="991">
      <c r="A991" s="40" t="n"/>
      <c r="B991" s="51" t="n"/>
    </row>
    <row r="992">
      <c r="A992" s="40" t="n"/>
      <c r="B992" s="51" t="n"/>
    </row>
    <row r="993">
      <c r="A993" s="40" t="n"/>
      <c r="B993" s="51" t="n"/>
    </row>
    <row r="994">
      <c r="A994" s="40" t="n"/>
      <c r="B994" s="51" t="n"/>
    </row>
    <row r="995">
      <c r="A995" s="40" t="n"/>
      <c r="B995" s="51" t="n"/>
    </row>
    <row r="996">
      <c r="A996" s="40" t="n"/>
      <c r="B996" s="51" t="n"/>
    </row>
    <row r="997">
      <c r="A997" s="40" t="n"/>
      <c r="B997" s="51" t="n"/>
    </row>
    <row r="998">
      <c r="A998" s="40" t="n"/>
      <c r="B998" s="51" t="n"/>
    </row>
    <row r="999">
      <c r="A999" s="40" t="n"/>
      <c r="B999" s="51" t="n"/>
    </row>
    <row r="1000">
      <c r="A1000" s="40" t="n"/>
      <c r="B1000" s="5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23" min="1" max="1"/>
    <col width="32" customWidth="1" style="23" min="2" max="2"/>
    <col width="20" customWidth="1" style="23" min="3" max="3"/>
    <col width="9" customWidth="1" style="23" min="4" max="4"/>
    <col width="9" customWidth="1" style="23" min="5" max="5"/>
    <col width="9" customWidth="1" style="23" min="6" max="6"/>
    <col width="9" customWidth="1" style="23" min="7" max="7"/>
    <col width="9" customWidth="1" style="23" min="8" max="8"/>
    <col width="9" customWidth="1" style="23" min="9" max="9"/>
    <col width="9" customWidth="1" style="23" min="10" max="10"/>
    <col width="9" customWidth="1" style="23" min="11" max="11"/>
    <col width="9" customWidth="1" style="23" min="12" max="12"/>
    <col width="9" customWidth="1" style="23" min="13" max="13"/>
    <col width="13" customWidth="1" style="23" min="14" max="14"/>
    <col width="13" customWidth="1" style="23" min="15" max="15"/>
    <col width="13" customWidth="1" style="23" min="16" max="16"/>
    <col width="20" customWidth="1" style="23" min="17" max="17"/>
    <col width="26" customWidth="1" style="23" min="18" max="18"/>
  </cols>
  <sheetData>
    <row r="1" ht="26" customHeight="1" s="23">
      <c r="A1" s="52" t="inlineStr">
        <is>
          <t>COTISATIONS DES APPRENANTS</t>
        </is>
      </c>
    </row>
    <row r="2" ht="30" customHeight="1" s="23">
      <c r="A2" s="53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</row>
    <row r="3" ht="22" customHeight="1" s="23">
      <c r="A3" s="54" t="inlineStr">
        <is>
          <t>Montant mensuel</t>
        </is>
      </c>
      <c r="B3" s="55" t="n">
        <v>50</v>
      </c>
      <c r="C3" s="54" t="inlineStr">
        <is>
          <t>Mois dus à ce jour</t>
        </is>
      </c>
      <c r="D3" s="56" t="n">
        <v>1</v>
      </c>
      <c r="E3" s="57" t="inlineStr">
        <is>
          <t>← à augmenter au début de chaque mois</t>
        </is>
      </c>
    </row>
    <row r="4" ht="32" customHeight="1" s="23">
      <c r="A4" s="43" t="inlineStr">
        <is>
          <t>N°</t>
        </is>
      </c>
      <c r="B4" s="43" t="inlineStr">
        <is>
          <t>NOM et Prénoms</t>
        </is>
      </c>
      <c r="C4" s="43" t="inlineStr">
        <is>
          <t>Classe</t>
        </is>
      </c>
      <c r="D4" s="43" t="inlineStr">
        <is>
          <t>Sept.</t>
        </is>
      </c>
      <c r="E4" s="43" t="inlineStr">
        <is>
          <t>Oct.</t>
        </is>
      </c>
      <c r="F4" s="43" t="inlineStr">
        <is>
          <t>Nov.</t>
        </is>
      </c>
      <c r="G4" s="43" t="inlineStr">
        <is>
          <t>Déc.</t>
        </is>
      </c>
      <c r="H4" s="43" t="inlineStr">
        <is>
          <t>Janv.</t>
        </is>
      </c>
      <c r="I4" s="43" t="inlineStr">
        <is>
          <t>Févr.</t>
        </is>
      </c>
      <c r="J4" s="43" t="inlineStr">
        <is>
          <t>Mars</t>
        </is>
      </c>
      <c r="K4" s="43" t="inlineStr">
        <is>
          <t>Avr.</t>
        </is>
      </c>
      <c r="L4" s="43" t="inlineStr">
        <is>
          <t>Mai</t>
        </is>
      </c>
      <c r="M4" s="43" t="inlineStr">
        <is>
          <t>Juin</t>
        </is>
      </c>
      <c r="N4" s="43" t="inlineStr">
        <is>
          <t>Total payé</t>
        </is>
      </c>
      <c r="O4" s="43" t="inlineStr">
        <is>
          <t>Total dû</t>
        </is>
      </c>
      <c r="P4" s="43" t="inlineStr">
        <is>
          <t>Solde</t>
        </is>
      </c>
      <c r="Q4" s="43" t="inlineStr">
        <is>
          <t>Statut</t>
        </is>
      </c>
      <c r="R4" s="43" t="inlineStr">
        <is>
          <t>Remarques</t>
        </is>
      </c>
    </row>
    <row r="5">
      <c r="A5" s="58" t="n">
        <v>1</v>
      </c>
      <c r="B5" s="59">
        <f>IF('Enfants'!A7="","",'Enfants'!A7)</f>
        <v/>
      </c>
      <c r="C5" s="59">
        <f>IF('Enfants'!A7="","",'Enfants'!C7)</f>
        <v/>
      </c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1">
        <f>IF('Enfants'!A7="","",SUM(D5:M5))</f>
        <v/>
      </c>
      <c r="O5" s="61">
        <f>IF('Enfants'!A7="","",$B$3*$D$3)</f>
        <v/>
      </c>
      <c r="P5" s="61">
        <f>IF('Enfants'!A7="","",N5-O5)</f>
        <v/>
      </c>
      <c r="Q5" s="62">
        <f>IF('Enfants'!A7="","",IF(P5&gt;=0,"À jour","Doit "&amp;-P5&amp;" DH"))</f>
        <v/>
      </c>
      <c r="R5" s="63" t="n"/>
    </row>
    <row r="6">
      <c r="A6" s="58" t="n">
        <v>2</v>
      </c>
      <c r="B6" s="59">
        <f>IF('Enfants'!A8="","",'Enfants'!A8)</f>
        <v/>
      </c>
      <c r="C6" s="59">
        <f>IF('Enfants'!A8="","",'Enfants'!C8)</f>
        <v/>
      </c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1">
        <f>IF('Enfants'!A8="","",SUM(D6:M6))</f>
        <v/>
      </c>
      <c r="O6" s="61">
        <f>IF('Enfants'!A8="","",$B$3*$D$3)</f>
        <v/>
      </c>
      <c r="P6" s="61">
        <f>IF('Enfants'!A8="","",N6-O6)</f>
        <v/>
      </c>
      <c r="Q6" s="62">
        <f>IF('Enfants'!A8="","",IF(P6&gt;=0,"À jour","Doit "&amp;-P6&amp;" DH"))</f>
        <v/>
      </c>
      <c r="R6" s="63" t="n"/>
    </row>
    <row r="7">
      <c r="A7" s="58" t="n">
        <v>3</v>
      </c>
      <c r="B7" s="59">
        <f>IF('Enfants'!A9="","",'Enfants'!A9)</f>
        <v/>
      </c>
      <c r="C7" s="59">
        <f>IF('Enfants'!A9="","",'Enfants'!C9)</f>
        <v/>
      </c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1">
        <f>IF('Enfants'!A9="","",SUM(D7:M7))</f>
        <v/>
      </c>
      <c r="O7" s="61">
        <f>IF('Enfants'!A9="","",$B$3*$D$3)</f>
        <v/>
      </c>
      <c r="P7" s="61">
        <f>IF('Enfants'!A9="","",N7-O7)</f>
        <v/>
      </c>
      <c r="Q7" s="62">
        <f>IF('Enfants'!A9="","",IF(P7&gt;=0,"À jour","Doit "&amp;-P7&amp;" DH"))</f>
        <v/>
      </c>
      <c r="R7" s="63" t="n"/>
    </row>
    <row r="8">
      <c r="A8" s="58" t="n">
        <v>4</v>
      </c>
      <c r="B8" s="59">
        <f>IF('Enfants'!A10="","",'Enfants'!A10)</f>
        <v/>
      </c>
      <c r="C8" s="59">
        <f>IF('Enfants'!A10="","",'Enfants'!C10)</f>
        <v/>
      </c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1">
        <f>IF('Enfants'!A10="","",SUM(D8:M8))</f>
        <v/>
      </c>
      <c r="O8" s="61">
        <f>IF('Enfants'!A10="","",$B$3*$D$3)</f>
        <v/>
      </c>
      <c r="P8" s="61">
        <f>IF('Enfants'!A10="","",N8-O8)</f>
        <v/>
      </c>
      <c r="Q8" s="62">
        <f>IF('Enfants'!A10="","",IF(P8&gt;=0,"À jour","Doit "&amp;-P8&amp;" DH"))</f>
        <v/>
      </c>
      <c r="R8" s="63" t="n"/>
    </row>
    <row r="9">
      <c r="A9" s="58" t="n">
        <v>5</v>
      </c>
      <c r="B9" s="59">
        <f>IF('Enfants'!A11="","",'Enfants'!A11)</f>
        <v/>
      </c>
      <c r="C9" s="59">
        <f>IF('Enfants'!A11="","",'Enfants'!C11)</f>
        <v/>
      </c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1">
        <f>IF('Enfants'!A11="","",SUM(D9:M9))</f>
        <v/>
      </c>
      <c r="O9" s="61">
        <f>IF('Enfants'!A11="","",$B$3*$D$3)</f>
        <v/>
      </c>
      <c r="P9" s="61">
        <f>IF('Enfants'!A11="","",N9-O9)</f>
        <v/>
      </c>
      <c r="Q9" s="62">
        <f>IF('Enfants'!A11="","",IF(P9&gt;=0,"À jour","Doit "&amp;-P9&amp;" DH"))</f>
        <v/>
      </c>
      <c r="R9" s="63" t="n"/>
    </row>
    <row r="10">
      <c r="A10" s="58" t="n">
        <v>6</v>
      </c>
      <c r="B10" s="59">
        <f>IF('Enfants'!A12="","",'Enfants'!A12)</f>
        <v/>
      </c>
      <c r="C10" s="59">
        <f>IF('Enfants'!A12="","",'Enfants'!C12)</f>
        <v/>
      </c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1">
        <f>IF('Enfants'!A12="","",SUM(D10:M10))</f>
        <v/>
      </c>
      <c r="O10" s="61">
        <f>IF('Enfants'!A12="","",$B$3*$D$3)</f>
        <v/>
      </c>
      <c r="P10" s="61">
        <f>IF('Enfants'!A12="","",N10-O10)</f>
        <v/>
      </c>
      <c r="Q10" s="62">
        <f>IF('Enfants'!A12="","",IF(P10&gt;=0,"À jour","Doit "&amp;-P10&amp;" DH"))</f>
        <v/>
      </c>
      <c r="R10" s="63" t="n"/>
    </row>
    <row r="11">
      <c r="A11" s="58" t="n">
        <v>7</v>
      </c>
      <c r="B11" s="59">
        <f>IF('Enfants'!A13="","",'Enfants'!A13)</f>
        <v/>
      </c>
      <c r="C11" s="59">
        <f>IF('Enfants'!A13="","",'Enfants'!C13)</f>
        <v/>
      </c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1">
        <f>IF('Enfants'!A13="","",SUM(D11:M11))</f>
        <v/>
      </c>
      <c r="O11" s="61">
        <f>IF('Enfants'!A13="","",$B$3*$D$3)</f>
        <v/>
      </c>
      <c r="P11" s="61">
        <f>IF('Enfants'!A13="","",N11-O11)</f>
        <v/>
      </c>
      <c r="Q11" s="62">
        <f>IF('Enfants'!A13="","",IF(P11&gt;=0,"À jour","Doit "&amp;-P11&amp;" DH"))</f>
        <v/>
      </c>
      <c r="R11" s="63" t="n"/>
    </row>
    <row r="12">
      <c r="A12" s="58" t="n">
        <v>8</v>
      </c>
      <c r="B12" s="59">
        <f>IF('Enfants'!A14="","",'Enfants'!A14)</f>
        <v/>
      </c>
      <c r="C12" s="59">
        <f>IF('Enfants'!A14="","",'Enfants'!C14)</f>
        <v/>
      </c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1">
        <f>IF('Enfants'!A14="","",SUM(D12:M12))</f>
        <v/>
      </c>
      <c r="O12" s="61">
        <f>IF('Enfants'!A14="","",$B$3*$D$3)</f>
        <v/>
      </c>
      <c r="P12" s="61">
        <f>IF('Enfants'!A14="","",N12-O12)</f>
        <v/>
      </c>
      <c r="Q12" s="62">
        <f>IF('Enfants'!A14="","",IF(P12&gt;=0,"À jour","Doit "&amp;-P12&amp;" DH"))</f>
        <v/>
      </c>
      <c r="R12" s="63" t="n"/>
    </row>
    <row r="13">
      <c r="A13" s="58" t="n">
        <v>9</v>
      </c>
      <c r="B13" s="59">
        <f>IF('Enfants'!A15="","",'Enfants'!A15)</f>
        <v/>
      </c>
      <c r="C13" s="59">
        <f>IF('Enfants'!A15="","",'Enfants'!C15)</f>
        <v/>
      </c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1">
        <f>IF('Enfants'!A15="","",SUM(D13:M13))</f>
        <v/>
      </c>
      <c r="O13" s="61">
        <f>IF('Enfants'!A15="","",$B$3*$D$3)</f>
        <v/>
      </c>
      <c r="P13" s="61">
        <f>IF('Enfants'!A15="","",N13-O13)</f>
        <v/>
      </c>
      <c r="Q13" s="62">
        <f>IF('Enfants'!A15="","",IF(P13&gt;=0,"À jour","Doit "&amp;-P13&amp;" DH"))</f>
        <v/>
      </c>
      <c r="R13" s="63" t="n"/>
    </row>
    <row r="14">
      <c r="A14" s="58" t="n">
        <v>10</v>
      </c>
      <c r="B14" s="59">
        <f>IF('Enfants'!A16="","",'Enfants'!A16)</f>
        <v/>
      </c>
      <c r="C14" s="59">
        <f>IF('Enfants'!A16="","",'Enfants'!C16)</f>
        <v/>
      </c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1">
        <f>IF('Enfants'!A16="","",SUM(D14:M14))</f>
        <v/>
      </c>
      <c r="O14" s="61">
        <f>IF('Enfants'!A16="","",$B$3*$D$3)</f>
        <v/>
      </c>
      <c r="P14" s="61">
        <f>IF('Enfants'!A16="","",N14-O14)</f>
        <v/>
      </c>
      <c r="Q14" s="62">
        <f>IF('Enfants'!A16="","",IF(P14&gt;=0,"À jour","Doit "&amp;-P14&amp;" DH"))</f>
        <v/>
      </c>
      <c r="R14" s="63" t="n"/>
    </row>
    <row r="15">
      <c r="A15" s="58" t="n">
        <v>11</v>
      </c>
      <c r="B15" s="59">
        <f>IF('Enfants'!A17="","",'Enfants'!A17)</f>
        <v/>
      </c>
      <c r="C15" s="59">
        <f>IF('Enfants'!A17="","",'Enfants'!C17)</f>
        <v/>
      </c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1">
        <f>IF('Enfants'!A17="","",SUM(D15:M15))</f>
        <v/>
      </c>
      <c r="O15" s="61">
        <f>IF('Enfants'!A17="","",$B$3*$D$3)</f>
        <v/>
      </c>
      <c r="P15" s="61">
        <f>IF('Enfants'!A17="","",N15-O15)</f>
        <v/>
      </c>
      <c r="Q15" s="62">
        <f>IF('Enfants'!A17="","",IF(P15&gt;=0,"À jour","Doit "&amp;-P15&amp;" DH"))</f>
        <v/>
      </c>
      <c r="R15" s="63" t="n"/>
    </row>
    <row r="16">
      <c r="A16" s="58" t="n">
        <v>12</v>
      </c>
      <c r="B16" s="59">
        <f>IF('Enfants'!A18="","",'Enfants'!A18)</f>
        <v/>
      </c>
      <c r="C16" s="59">
        <f>IF('Enfants'!A18="","",'Enfants'!C18)</f>
        <v/>
      </c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1">
        <f>IF('Enfants'!A18="","",SUM(D16:M16))</f>
        <v/>
      </c>
      <c r="O16" s="61">
        <f>IF('Enfants'!A18="","",$B$3*$D$3)</f>
        <v/>
      </c>
      <c r="P16" s="61">
        <f>IF('Enfants'!A18="","",N16-O16)</f>
        <v/>
      </c>
      <c r="Q16" s="62">
        <f>IF('Enfants'!A18="","",IF(P16&gt;=0,"À jour","Doit "&amp;-P16&amp;" DH"))</f>
        <v/>
      </c>
      <c r="R16" s="63" t="n"/>
    </row>
    <row r="17">
      <c r="A17" s="58" t="n">
        <v>13</v>
      </c>
      <c r="B17" s="59">
        <f>IF('Enfants'!A19="","",'Enfants'!A19)</f>
        <v/>
      </c>
      <c r="C17" s="59">
        <f>IF('Enfants'!A19="","",'Enfants'!C19)</f>
        <v/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1">
        <f>IF('Enfants'!A19="","",SUM(D17:M17))</f>
        <v/>
      </c>
      <c r="O17" s="61">
        <f>IF('Enfants'!A19="","",$B$3*$D$3)</f>
        <v/>
      </c>
      <c r="P17" s="61">
        <f>IF('Enfants'!A19="","",N17-O17)</f>
        <v/>
      </c>
      <c r="Q17" s="62">
        <f>IF('Enfants'!A19="","",IF(P17&gt;=0,"À jour","Doit "&amp;-P17&amp;" DH"))</f>
        <v/>
      </c>
      <c r="R17" s="63" t="n"/>
    </row>
    <row r="18">
      <c r="A18" s="58" t="n">
        <v>14</v>
      </c>
      <c r="B18" s="59">
        <f>IF('Enfants'!A20="","",'Enfants'!A20)</f>
        <v/>
      </c>
      <c r="C18" s="59">
        <f>IF('Enfants'!A20="","",'Enfants'!C20)</f>
        <v/>
      </c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1">
        <f>IF('Enfants'!A20="","",SUM(D18:M18))</f>
        <v/>
      </c>
      <c r="O18" s="61">
        <f>IF('Enfants'!A20="","",$B$3*$D$3)</f>
        <v/>
      </c>
      <c r="P18" s="61">
        <f>IF('Enfants'!A20="","",N18-O18)</f>
        <v/>
      </c>
      <c r="Q18" s="62">
        <f>IF('Enfants'!A20="","",IF(P18&gt;=0,"À jour","Doit "&amp;-P18&amp;" DH"))</f>
        <v/>
      </c>
      <c r="R18" s="63" t="n"/>
    </row>
    <row r="19">
      <c r="A19" s="58" t="n">
        <v>15</v>
      </c>
      <c r="B19" s="59">
        <f>IF('Enfants'!A21="","",'Enfants'!A21)</f>
        <v/>
      </c>
      <c r="C19" s="59">
        <f>IF('Enfants'!A21="","",'Enfants'!C21)</f>
        <v/>
      </c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1">
        <f>IF('Enfants'!A21="","",SUM(D19:M19))</f>
        <v/>
      </c>
      <c r="O19" s="61">
        <f>IF('Enfants'!A21="","",$B$3*$D$3)</f>
        <v/>
      </c>
      <c r="P19" s="61">
        <f>IF('Enfants'!A21="","",N19-O19)</f>
        <v/>
      </c>
      <c r="Q19" s="62">
        <f>IF('Enfants'!A21="","",IF(P19&gt;=0,"À jour","Doit "&amp;-P19&amp;" DH"))</f>
        <v/>
      </c>
      <c r="R19" s="63" t="n"/>
    </row>
    <row r="20">
      <c r="A20" s="58" t="n">
        <v>16</v>
      </c>
      <c r="B20" s="59">
        <f>IF('Enfants'!A22="","",'Enfants'!A22)</f>
        <v/>
      </c>
      <c r="C20" s="59">
        <f>IF('Enfants'!A22="","",'Enfants'!C22)</f>
        <v/>
      </c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1">
        <f>IF('Enfants'!A22="","",SUM(D20:M20))</f>
        <v/>
      </c>
      <c r="O20" s="61">
        <f>IF('Enfants'!A22="","",$B$3*$D$3)</f>
        <v/>
      </c>
      <c r="P20" s="61">
        <f>IF('Enfants'!A22="","",N20-O20)</f>
        <v/>
      </c>
      <c r="Q20" s="62">
        <f>IF('Enfants'!A22="","",IF(P20&gt;=0,"À jour","Doit "&amp;-P20&amp;" DH"))</f>
        <v/>
      </c>
      <c r="R20" s="63" t="n"/>
    </row>
    <row r="21">
      <c r="A21" s="58" t="n">
        <v>17</v>
      </c>
      <c r="B21" s="59">
        <f>IF('Enfants'!A23="","",'Enfants'!A23)</f>
        <v/>
      </c>
      <c r="C21" s="59">
        <f>IF('Enfants'!A23="","",'Enfants'!C23)</f>
        <v/>
      </c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IF('Enfants'!A23="","",SUM(D21:M21))</f>
        <v/>
      </c>
      <c r="O21" s="61">
        <f>IF('Enfants'!A23="","",$B$3*$D$3)</f>
        <v/>
      </c>
      <c r="P21" s="61">
        <f>IF('Enfants'!A23="","",N21-O21)</f>
        <v/>
      </c>
      <c r="Q21" s="62">
        <f>IF('Enfants'!A23="","",IF(P21&gt;=0,"À jour","Doit "&amp;-P21&amp;" DH"))</f>
        <v/>
      </c>
      <c r="R21" s="63" t="n"/>
    </row>
    <row r="22">
      <c r="A22" s="58" t="n">
        <v>18</v>
      </c>
      <c r="B22" s="59">
        <f>IF('Enfants'!A24="","",'Enfants'!A24)</f>
        <v/>
      </c>
      <c r="C22" s="59">
        <f>IF('Enfants'!A24="","",'Enfants'!C24)</f>
        <v/>
      </c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1">
        <f>IF('Enfants'!A24="","",SUM(D22:M22))</f>
        <v/>
      </c>
      <c r="O22" s="61">
        <f>IF('Enfants'!A24="","",$B$3*$D$3)</f>
        <v/>
      </c>
      <c r="P22" s="61">
        <f>IF('Enfants'!A24="","",N22-O22)</f>
        <v/>
      </c>
      <c r="Q22" s="62">
        <f>IF('Enfants'!A24="","",IF(P22&gt;=0,"À jour","Doit "&amp;-P22&amp;" DH"))</f>
        <v/>
      </c>
      <c r="R22" s="63" t="n"/>
    </row>
    <row r="23">
      <c r="A23" s="58" t="n">
        <v>19</v>
      </c>
      <c r="B23" s="59">
        <f>IF('Enfants'!A25="","",'Enfants'!A25)</f>
        <v/>
      </c>
      <c r="C23" s="59">
        <f>IF('Enfants'!A25="","",'Enfants'!C25)</f>
        <v/>
      </c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IF('Enfants'!A25="","",SUM(D23:M23))</f>
        <v/>
      </c>
      <c r="O23" s="61">
        <f>IF('Enfants'!A25="","",$B$3*$D$3)</f>
        <v/>
      </c>
      <c r="P23" s="61">
        <f>IF('Enfants'!A25="","",N23-O23)</f>
        <v/>
      </c>
      <c r="Q23" s="62">
        <f>IF('Enfants'!A25="","",IF(P23&gt;=0,"À jour","Doit "&amp;-P23&amp;" DH"))</f>
        <v/>
      </c>
      <c r="R23" s="63" t="n"/>
    </row>
    <row r="24">
      <c r="A24" s="58" t="n">
        <v>20</v>
      </c>
      <c r="B24" s="59">
        <f>IF('Enfants'!A26="","",'Enfants'!A26)</f>
        <v/>
      </c>
      <c r="C24" s="59">
        <f>IF('Enfants'!A26="","",'Enfants'!C26)</f>
        <v/>
      </c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1">
        <f>IF('Enfants'!A26="","",SUM(D24:M24))</f>
        <v/>
      </c>
      <c r="O24" s="61">
        <f>IF('Enfants'!A26="","",$B$3*$D$3)</f>
        <v/>
      </c>
      <c r="P24" s="61">
        <f>IF('Enfants'!A26="","",N24-O24)</f>
        <v/>
      </c>
      <c r="Q24" s="62">
        <f>IF('Enfants'!A26="","",IF(P24&gt;=0,"À jour","Doit "&amp;-P24&amp;" DH"))</f>
        <v/>
      </c>
      <c r="R24" s="63" t="n"/>
    </row>
    <row r="25">
      <c r="A25" s="58" t="n">
        <v>21</v>
      </c>
      <c r="B25" s="59">
        <f>IF('Enfants'!A27="","",'Enfants'!A27)</f>
        <v/>
      </c>
      <c r="C25" s="59">
        <f>IF('Enfants'!A27="","",'Enfants'!C27)</f>
        <v/>
      </c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IF('Enfants'!A27="","",SUM(D25:M25))</f>
        <v/>
      </c>
      <c r="O25" s="61">
        <f>IF('Enfants'!A27="","",$B$3*$D$3)</f>
        <v/>
      </c>
      <c r="P25" s="61">
        <f>IF('Enfants'!A27="","",N25-O25)</f>
        <v/>
      </c>
      <c r="Q25" s="62">
        <f>IF('Enfants'!A27="","",IF(P25&gt;=0,"À jour","Doit "&amp;-P25&amp;" DH"))</f>
        <v/>
      </c>
      <c r="R25" s="63" t="n"/>
    </row>
    <row r="26">
      <c r="A26" s="58" t="n">
        <v>22</v>
      </c>
      <c r="B26" s="59">
        <f>IF('Enfants'!A28="","",'Enfants'!A28)</f>
        <v/>
      </c>
      <c r="C26" s="59">
        <f>IF('Enfants'!A28="","",'Enfants'!C28)</f>
        <v/>
      </c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1">
        <f>IF('Enfants'!A28="","",SUM(D26:M26))</f>
        <v/>
      </c>
      <c r="O26" s="61">
        <f>IF('Enfants'!A28="","",$B$3*$D$3)</f>
        <v/>
      </c>
      <c r="P26" s="61">
        <f>IF('Enfants'!A28="","",N26-O26)</f>
        <v/>
      </c>
      <c r="Q26" s="62">
        <f>IF('Enfants'!A28="","",IF(P26&gt;=0,"À jour","Doit "&amp;-P26&amp;" DH"))</f>
        <v/>
      </c>
      <c r="R26" s="63" t="n"/>
    </row>
    <row r="27">
      <c r="A27" s="58" t="n">
        <v>23</v>
      </c>
      <c r="B27" s="59">
        <f>IF('Enfants'!A29="","",'Enfants'!A29)</f>
        <v/>
      </c>
      <c r="C27" s="59">
        <f>IF('Enfants'!A29="","",'Enfants'!C29)</f>
        <v/>
      </c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IF('Enfants'!A29="","",SUM(D27:M27))</f>
        <v/>
      </c>
      <c r="O27" s="61">
        <f>IF('Enfants'!A29="","",$B$3*$D$3)</f>
        <v/>
      </c>
      <c r="P27" s="61">
        <f>IF('Enfants'!A29="","",N27-O27)</f>
        <v/>
      </c>
      <c r="Q27" s="62">
        <f>IF('Enfants'!A29="","",IF(P27&gt;=0,"À jour","Doit "&amp;-P27&amp;" DH"))</f>
        <v/>
      </c>
      <c r="R27" s="63" t="n"/>
    </row>
    <row r="28">
      <c r="A28" s="58" t="n">
        <v>24</v>
      </c>
      <c r="B28" s="59">
        <f>IF('Enfants'!A30="","",'Enfants'!A30)</f>
        <v/>
      </c>
      <c r="C28" s="59">
        <f>IF('Enfants'!A30="","",'Enfants'!C30)</f>
        <v/>
      </c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1">
        <f>IF('Enfants'!A30="","",SUM(D28:M28))</f>
        <v/>
      </c>
      <c r="O28" s="61">
        <f>IF('Enfants'!A30="","",$B$3*$D$3)</f>
        <v/>
      </c>
      <c r="P28" s="61">
        <f>IF('Enfants'!A30="","",N28-O28)</f>
        <v/>
      </c>
      <c r="Q28" s="62">
        <f>IF('Enfants'!A30="","",IF(P28&gt;=0,"À jour","Doit "&amp;-P28&amp;" DH"))</f>
        <v/>
      </c>
      <c r="R28" s="63" t="n"/>
    </row>
    <row r="29">
      <c r="A29" s="58" t="n">
        <v>25</v>
      </c>
      <c r="B29" s="59">
        <f>IF('Enfants'!A31="","",'Enfants'!A31)</f>
        <v/>
      </c>
      <c r="C29" s="59">
        <f>IF('Enfants'!A31="","",'Enfants'!C31)</f>
        <v/>
      </c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IF('Enfants'!A31="","",SUM(D29:M29))</f>
        <v/>
      </c>
      <c r="O29" s="61">
        <f>IF('Enfants'!A31="","",$B$3*$D$3)</f>
        <v/>
      </c>
      <c r="P29" s="61">
        <f>IF('Enfants'!A31="","",N29-O29)</f>
        <v/>
      </c>
      <c r="Q29" s="62">
        <f>IF('Enfants'!A31="","",IF(P29&gt;=0,"À jour","Doit "&amp;-P29&amp;" DH"))</f>
        <v/>
      </c>
      <c r="R29" s="63" t="n"/>
    </row>
    <row r="30">
      <c r="A30" s="58" t="n">
        <v>26</v>
      </c>
      <c r="B30" s="59">
        <f>IF('Enfants'!A32="","",'Enfants'!A32)</f>
        <v/>
      </c>
      <c r="C30" s="59">
        <f>IF('Enfants'!A32="","",'Enfants'!C32)</f>
        <v/>
      </c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1">
        <f>IF('Enfants'!A32="","",SUM(D30:M30))</f>
        <v/>
      </c>
      <c r="O30" s="61">
        <f>IF('Enfants'!A32="","",$B$3*$D$3)</f>
        <v/>
      </c>
      <c r="P30" s="61">
        <f>IF('Enfants'!A32="","",N30-O30)</f>
        <v/>
      </c>
      <c r="Q30" s="62">
        <f>IF('Enfants'!A32="","",IF(P30&gt;=0,"À jour","Doit "&amp;-P30&amp;" DH"))</f>
        <v/>
      </c>
      <c r="R30" s="63" t="n"/>
    </row>
    <row r="31">
      <c r="A31" s="58" t="n">
        <v>27</v>
      </c>
      <c r="B31" s="59">
        <f>IF('Enfants'!A33="","",'Enfants'!A33)</f>
        <v/>
      </c>
      <c r="C31" s="59">
        <f>IF('Enfants'!A33="","",'Enfants'!C33)</f>
        <v/>
      </c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IF('Enfants'!A33="","",SUM(D31:M31))</f>
        <v/>
      </c>
      <c r="O31" s="61">
        <f>IF('Enfants'!A33="","",$B$3*$D$3)</f>
        <v/>
      </c>
      <c r="P31" s="61">
        <f>IF('Enfants'!A33="","",N31-O31)</f>
        <v/>
      </c>
      <c r="Q31" s="62">
        <f>IF('Enfants'!A33="","",IF(P31&gt;=0,"À jour","Doit "&amp;-P31&amp;" DH"))</f>
        <v/>
      </c>
      <c r="R31" s="63" t="n"/>
    </row>
    <row r="32">
      <c r="A32" s="58" t="n">
        <v>28</v>
      </c>
      <c r="B32" s="59">
        <f>IF('Enfants'!A34="","",'Enfants'!A34)</f>
        <v/>
      </c>
      <c r="C32" s="59">
        <f>IF('Enfants'!A34="","",'Enfants'!C34)</f>
        <v/>
      </c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1">
        <f>IF('Enfants'!A34="","",SUM(D32:M32))</f>
        <v/>
      </c>
      <c r="O32" s="61">
        <f>IF('Enfants'!A34="","",$B$3*$D$3)</f>
        <v/>
      </c>
      <c r="P32" s="61">
        <f>IF('Enfants'!A34="","",N32-O32)</f>
        <v/>
      </c>
      <c r="Q32" s="62">
        <f>IF('Enfants'!A34="","",IF(P32&gt;=0,"À jour","Doit "&amp;-P32&amp;" DH"))</f>
        <v/>
      </c>
      <c r="R32" s="63" t="n"/>
    </row>
    <row r="33">
      <c r="A33" s="58" t="n">
        <v>29</v>
      </c>
      <c r="B33" s="59">
        <f>IF('Enfants'!A35="","",'Enfants'!A35)</f>
        <v/>
      </c>
      <c r="C33" s="59">
        <f>IF('Enfants'!A35="","",'Enfants'!C35)</f>
        <v/>
      </c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1">
        <f>IF('Enfants'!A35="","",SUM(D33:M33))</f>
        <v/>
      </c>
      <c r="O33" s="61">
        <f>IF('Enfants'!A35="","",$B$3*$D$3)</f>
        <v/>
      </c>
      <c r="P33" s="61">
        <f>IF('Enfants'!A35="","",N33-O33)</f>
        <v/>
      </c>
      <c r="Q33" s="62">
        <f>IF('Enfants'!A35="","",IF(P33&gt;=0,"À jour","Doit "&amp;-P33&amp;" DH"))</f>
        <v/>
      </c>
      <c r="R33" s="63" t="n"/>
    </row>
    <row r="34">
      <c r="A34" s="58" t="n">
        <v>30</v>
      </c>
      <c r="B34" s="59">
        <f>IF('Enfants'!A36="","",'Enfants'!A36)</f>
        <v/>
      </c>
      <c r="C34" s="59">
        <f>IF('Enfants'!A36="","",'Enfants'!C36)</f>
        <v/>
      </c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1">
        <f>IF('Enfants'!A36="","",SUM(D34:M34))</f>
        <v/>
      </c>
      <c r="O34" s="61">
        <f>IF('Enfants'!A36="","",$B$3*$D$3)</f>
        <v/>
      </c>
      <c r="P34" s="61">
        <f>IF('Enfants'!A36="","",N34-O34)</f>
        <v/>
      </c>
      <c r="Q34" s="62">
        <f>IF('Enfants'!A36="","",IF(P34&gt;=0,"À jour","Doit "&amp;-P34&amp;" DH"))</f>
        <v/>
      </c>
      <c r="R34" s="63" t="n"/>
    </row>
    <row r="35">
      <c r="A35" s="58" t="n">
        <v>31</v>
      </c>
      <c r="B35" s="59">
        <f>IF('Enfants'!A37="","",'Enfants'!A37)</f>
        <v/>
      </c>
      <c r="C35" s="59">
        <f>IF('Enfants'!A37="","",'Enfants'!C37)</f>
        <v/>
      </c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1">
        <f>IF('Enfants'!A37="","",SUM(D35:M35))</f>
        <v/>
      </c>
      <c r="O35" s="61">
        <f>IF('Enfants'!A37="","",$B$3*$D$3)</f>
        <v/>
      </c>
      <c r="P35" s="61">
        <f>IF('Enfants'!A37="","",N35-O35)</f>
        <v/>
      </c>
      <c r="Q35" s="62">
        <f>IF('Enfants'!A37="","",IF(P35&gt;=0,"À jour","Doit "&amp;-P35&amp;" DH"))</f>
        <v/>
      </c>
      <c r="R35" s="63" t="n"/>
    </row>
    <row r="36">
      <c r="A36" s="58" t="n">
        <v>32</v>
      </c>
      <c r="B36" s="59">
        <f>IF('Enfants'!A38="","",'Enfants'!A38)</f>
        <v/>
      </c>
      <c r="C36" s="59">
        <f>IF('Enfants'!A38="","",'Enfants'!C38)</f>
        <v/>
      </c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1">
        <f>IF('Enfants'!A38="","",SUM(D36:M36))</f>
        <v/>
      </c>
      <c r="O36" s="61">
        <f>IF('Enfants'!A38="","",$B$3*$D$3)</f>
        <v/>
      </c>
      <c r="P36" s="61">
        <f>IF('Enfants'!A38="","",N36-O36)</f>
        <v/>
      </c>
      <c r="Q36" s="62">
        <f>IF('Enfants'!A38="","",IF(P36&gt;=0,"À jour","Doit "&amp;-P36&amp;" DH"))</f>
        <v/>
      </c>
      <c r="R36" s="63" t="n"/>
    </row>
    <row r="37">
      <c r="A37" s="58" t="n">
        <v>33</v>
      </c>
      <c r="B37" s="59">
        <f>IF('Enfants'!A39="","",'Enfants'!A39)</f>
        <v/>
      </c>
      <c r="C37" s="59">
        <f>IF('Enfants'!A39="","",'Enfants'!C39)</f>
        <v/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1">
        <f>IF('Enfants'!A39="","",SUM(D37:M37))</f>
        <v/>
      </c>
      <c r="O37" s="61">
        <f>IF('Enfants'!A39="","",$B$3*$D$3)</f>
        <v/>
      </c>
      <c r="P37" s="61">
        <f>IF('Enfants'!A39="","",N37-O37)</f>
        <v/>
      </c>
      <c r="Q37" s="62">
        <f>IF('Enfants'!A39="","",IF(P37&gt;=0,"À jour","Doit "&amp;-P37&amp;" DH"))</f>
        <v/>
      </c>
      <c r="R37" s="63" t="n"/>
    </row>
    <row r="38">
      <c r="A38" s="58" t="n">
        <v>34</v>
      </c>
      <c r="B38" s="59">
        <f>IF('Enfants'!A40="","",'Enfants'!A40)</f>
        <v/>
      </c>
      <c r="C38" s="59">
        <f>IF('Enfants'!A40="","",'Enfants'!C40)</f>
        <v/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1">
        <f>IF('Enfants'!A40="","",SUM(D38:M38))</f>
        <v/>
      </c>
      <c r="O38" s="61">
        <f>IF('Enfants'!A40="","",$B$3*$D$3)</f>
        <v/>
      </c>
      <c r="P38" s="61">
        <f>IF('Enfants'!A40="","",N38-O38)</f>
        <v/>
      </c>
      <c r="Q38" s="62">
        <f>IF('Enfants'!A40="","",IF(P38&gt;=0,"À jour","Doit "&amp;-P38&amp;" DH"))</f>
        <v/>
      </c>
      <c r="R38" s="63" t="n"/>
    </row>
    <row r="39">
      <c r="A39" s="58" t="n">
        <v>35</v>
      </c>
      <c r="B39" s="59">
        <f>IF('Enfants'!A41="","",'Enfants'!A41)</f>
        <v/>
      </c>
      <c r="C39" s="59">
        <f>IF('Enfants'!A41="","",'Enfants'!C41)</f>
        <v/>
      </c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1">
        <f>IF('Enfants'!A41="","",SUM(D39:M39))</f>
        <v/>
      </c>
      <c r="O39" s="61">
        <f>IF('Enfants'!A41="","",$B$3*$D$3)</f>
        <v/>
      </c>
      <c r="P39" s="61">
        <f>IF('Enfants'!A41="","",N39-O39)</f>
        <v/>
      </c>
      <c r="Q39" s="62">
        <f>IF('Enfants'!A41="","",IF(P39&gt;=0,"À jour","Doit "&amp;-P39&amp;" DH"))</f>
        <v/>
      </c>
      <c r="R39" s="63" t="n"/>
    </row>
    <row r="40">
      <c r="A40" s="58" t="n">
        <v>36</v>
      </c>
      <c r="B40" s="59">
        <f>IF('Enfants'!A42="","",'Enfants'!A42)</f>
        <v/>
      </c>
      <c r="C40" s="59">
        <f>IF('Enfants'!A42="","",'Enfants'!C42)</f>
        <v/>
      </c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1">
        <f>IF('Enfants'!A42="","",SUM(D40:M40))</f>
        <v/>
      </c>
      <c r="O40" s="61">
        <f>IF('Enfants'!A42="","",$B$3*$D$3)</f>
        <v/>
      </c>
      <c r="P40" s="61">
        <f>IF('Enfants'!A42="","",N40-O40)</f>
        <v/>
      </c>
      <c r="Q40" s="62">
        <f>IF('Enfants'!A42="","",IF(P40&gt;=0,"À jour","Doit "&amp;-P40&amp;" DH"))</f>
        <v/>
      </c>
      <c r="R40" s="63" t="n"/>
    </row>
    <row r="41">
      <c r="A41" s="58" t="n">
        <v>37</v>
      </c>
      <c r="B41" s="59">
        <f>IF('Enfants'!A43="","",'Enfants'!A43)</f>
        <v/>
      </c>
      <c r="C41" s="59">
        <f>IF('Enfants'!A43="","",'Enfants'!C43)</f>
        <v/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1">
        <f>IF('Enfants'!A43="","",SUM(D41:M41))</f>
        <v/>
      </c>
      <c r="O41" s="61">
        <f>IF('Enfants'!A43="","",$B$3*$D$3)</f>
        <v/>
      </c>
      <c r="P41" s="61">
        <f>IF('Enfants'!A43="","",N41-O41)</f>
        <v/>
      </c>
      <c r="Q41" s="62">
        <f>IF('Enfants'!A43="","",IF(P41&gt;=0,"À jour","Doit "&amp;-P41&amp;" DH"))</f>
        <v/>
      </c>
      <c r="R41" s="63" t="n"/>
    </row>
    <row r="42">
      <c r="A42" s="58" t="n">
        <v>38</v>
      </c>
      <c r="B42" s="59">
        <f>IF('Enfants'!A44="","",'Enfants'!A44)</f>
        <v/>
      </c>
      <c r="C42" s="59">
        <f>IF('Enfants'!A44="","",'Enfants'!C44)</f>
        <v/>
      </c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1">
        <f>IF('Enfants'!A44="","",SUM(D42:M42))</f>
        <v/>
      </c>
      <c r="O42" s="61">
        <f>IF('Enfants'!A44="","",$B$3*$D$3)</f>
        <v/>
      </c>
      <c r="P42" s="61">
        <f>IF('Enfants'!A44="","",N42-O42)</f>
        <v/>
      </c>
      <c r="Q42" s="62">
        <f>IF('Enfants'!A44="","",IF(P42&gt;=0,"À jour","Doit "&amp;-P42&amp;" DH"))</f>
        <v/>
      </c>
      <c r="R42" s="63" t="n"/>
    </row>
    <row r="43">
      <c r="A43" s="58" t="n">
        <v>39</v>
      </c>
      <c r="B43" s="59">
        <f>IF('Enfants'!A45="","",'Enfants'!A45)</f>
        <v/>
      </c>
      <c r="C43" s="59">
        <f>IF('Enfants'!A45="","",'Enfants'!C45)</f>
        <v/>
      </c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1">
        <f>IF('Enfants'!A45="","",SUM(D43:M43))</f>
        <v/>
      </c>
      <c r="O43" s="61">
        <f>IF('Enfants'!A45="","",$B$3*$D$3)</f>
        <v/>
      </c>
      <c r="P43" s="61">
        <f>IF('Enfants'!A45="","",N43-O43)</f>
        <v/>
      </c>
      <c r="Q43" s="62">
        <f>IF('Enfants'!A45="","",IF(P43&gt;=0,"À jour","Doit "&amp;-P43&amp;" DH"))</f>
        <v/>
      </c>
      <c r="R43" s="63" t="n"/>
    </row>
    <row r="44">
      <c r="A44" s="58" t="n">
        <v>40</v>
      </c>
      <c r="B44" s="59">
        <f>IF('Enfants'!A46="","",'Enfants'!A46)</f>
        <v/>
      </c>
      <c r="C44" s="59">
        <f>IF('Enfants'!A46="","",'Enfants'!C46)</f>
        <v/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1">
        <f>IF('Enfants'!A46="","",SUM(D44:M44))</f>
        <v/>
      </c>
      <c r="O44" s="61">
        <f>IF('Enfants'!A46="","",$B$3*$D$3)</f>
        <v/>
      </c>
      <c r="P44" s="61">
        <f>IF('Enfants'!A46="","",N44-O44)</f>
        <v/>
      </c>
      <c r="Q44" s="62">
        <f>IF('Enfants'!A46="","",IF(P44&gt;=0,"À jour","Doit "&amp;-P44&amp;" DH"))</f>
        <v/>
      </c>
      <c r="R44" s="63" t="n"/>
    </row>
    <row r="45" ht="24" customHeight="1" s="23">
      <c r="A45" s="64" t="n"/>
      <c r="B45" s="65" t="inlineStr">
        <is>
          <t>TOTAL ENCAISSÉ</t>
        </is>
      </c>
      <c r="C45" s="66" t="n"/>
      <c r="D45" s="67">
        <f>SUM(D5:D44)</f>
        <v/>
      </c>
      <c r="E45" s="67">
        <f>SUM(E5:E44)</f>
        <v/>
      </c>
      <c r="F45" s="67">
        <f>SUM(F5:F44)</f>
        <v/>
      </c>
      <c r="G45" s="67">
        <f>SUM(G5:G44)</f>
        <v/>
      </c>
      <c r="H45" s="67">
        <f>SUM(H5:H44)</f>
        <v/>
      </c>
      <c r="I45" s="67">
        <f>SUM(I5:I44)</f>
        <v/>
      </c>
      <c r="J45" s="67">
        <f>SUM(J5:J44)</f>
        <v/>
      </c>
      <c r="K45" s="67">
        <f>SUM(K5:K44)</f>
        <v/>
      </c>
      <c r="L45" s="67">
        <f>SUM(L5:L44)</f>
        <v/>
      </c>
      <c r="M45" s="67">
        <f>SUM(M5:M44)</f>
        <v/>
      </c>
      <c r="N45" s="67">
        <f>SUM(N5:N44)</f>
        <v/>
      </c>
      <c r="O45" s="67">
        <f>SUM(O5:O44)</f>
        <v/>
      </c>
      <c r="P45" s="67">
        <f>SUM(P5:P44)</f>
        <v/>
      </c>
      <c r="Q45" s="66" t="n"/>
      <c r="R45" s="66" t="n"/>
    </row>
  </sheetData>
  <mergeCells count="3">
    <mergeCell ref="E3:I3"/>
    <mergeCell ref="A2:R2"/>
    <mergeCell ref="A1:R1"/>
  </mergeCells>
  <conditionalFormatting sqref="Q5:Q44">
    <cfRule type="cellIs" priority="1" operator="equal" dxfId="8">
      <formula>"À jour"</formula>
    </cfRule>
    <cfRule type="expression" priority="2" dxfId="9">
      <formula>AND($Q5&lt;&gt;"",$Q5&lt;&gt;"À jour")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style="23" min="1" max="1"/>
    <col width="12" customWidth="1" style="23" min="2" max="2"/>
    <col width="18" customWidth="1" style="23" min="3" max="3"/>
    <col width="42" customWidth="1" style="23" min="4" max="4"/>
    <col width="15" customWidth="1" style="23" min="5" max="5"/>
    <col width="15" customWidth="1" style="23" min="6" max="6"/>
    <col width="11" customWidth="1" style="23" min="7" max="7"/>
    <col width="18" customWidth="1" style="23" min="8" max="8"/>
    <col width="30" customWidth="1" style="23" min="9" max="9"/>
  </cols>
  <sheetData>
    <row r="1" ht="26" customHeight="1" s="23">
      <c r="A1" s="52" t="inlineStr">
        <is>
          <t>CAISSE — ENTRÉES ET SORTIES</t>
        </is>
      </c>
    </row>
    <row r="2" ht="30" customHeight="1" s="23">
      <c r="A2" s="53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</row>
    <row r="4">
      <c r="A4" s="68" t="inlineStr">
        <is>
          <t>Total entrées</t>
        </is>
      </c>
      <c r="B4" s="69">
        <f>SUMIF($B$10:$B$209,"Entrée",$E$10:$E$209)</f>
        <v/>
      </c>
    </row>
    <row r="5">
      <c r="A5" s="68" t="inlineStr">
        <is>
          <t>Total sorties</t>
        </is>
      </c>
      <c r="B5" s="69">
        <f>SUMIF($B$10:$B$209,"Sortie",$E$10:$E$209)</f>
        <v/>
      </c>
    </row>
    <row r="6">
      <c r="A6" s="65" t="inlineStr">
        <is>
          <t>SOLDE EN CAISSE</t>
        </is>
      </c>
      <c r="B6" s="67">
        <f>B4-B5</f>
        <v/>
      </c>
    </row>
    <row r="7">
      <c r="A7" s="65" t="inlineStr">
        <is>
          <t>Contrôle cotisations</t>
        </is>
      </c>
      <c r="B7" s="67">
        <f>SUMIFS($E$10:$E$209,$B$10:$B$209,"Entrée",$C$10:$C$209,"Cotisation")-Cotisations!N45</f>
        <v/>
      </c>
      <c r="C7" s="57" t="inlineStr">
        <is>
          <t>↑ doit rester à 0 DH : sinon un encaissement a été noté dans un onglet et pas dans l'autre</t>
        </is>
      </c>
    </row>
    <row r="9" ht="32" customHeight="1" s="23">
      <c r="A9" s="43" t="inlineStr">
        <is>
          <t>Date</t>
        </is>
      </c>
      <c r="B9" s="43" t="inlineStr">
        <is>
          <t>Type</t>
        </is>
      </c>
      <c r="C9" s="43" t="inlineStr">
        <is>
          <t>Catégorie</t>
        </is>
      </c>
      <c r="D9" s="43" t="inlineStr">
        <is>
          <t>Description</t>
        </is>
      </c>
      <c r="E9" s="43" t="inlineStr">
        <is>
          <t>Montant (DH)</t>
        </is>
      </c>
      <c r="F9" s="43" t="inlineStr">
        <is>
          <t>Moyen</t>
        </is>
      </c>
      <c r="G9" s="43" t="inlineStr">
        <is>
          <t>Pièce n°</t>
        </is>
      </c>
      <c r="H9" s="43" t="inlineStr">
        <is>
          <t>Qui</t>
        </is>
      </c>
      <c r="I9" s="43" t="inlineStr">
        <is>
          <t>Remarques</t>
        </is>
      </c>
    </row>
    <row r="10">
      <c r="A10" s="70" t="n"/>
      <c r="B10" s="71" t="n"/>
      <c r="C10" s="72" t="n"/>
      <c r="D10" s="72" t="n"/>
      <c r="E10" s="60" t="n"/>
      <c r="F10" s="72" t="n"/>
      <c r="G10" s="72" t="n"/>
      <c r="H10" s="72" t="n"/>
      <c r="I10" s="72" t="n"/>
    </row>
    <row r="11">
      <c r="A11" s="70" t="n"/>
      <c r="B11" s="71" t="n"/>
      <c r="C11" s="72" t="n"/>
      <c r="D11" s="72" t="n"/>
      <c r="E11" s="60" t="n"/>
      <c r="F11" s="72" t="n"/>
      <c r="G11" s="72" t="n"/>
      <c r="H11" s="72" t="n"/>
      <c r="I11" s="72" t="n"/>
    </row>
    <row r="12">
      <c r="A12" s="70" t="n"/>
      <c r="B12" s="71" t="n"/>
      <c r="C12" s="72" t="n"/>
      <c r="D12" s="72" t="n"/>
      <c r="E12" s="60" t="n"/>
      <c r="F12" s="72" t="n"/>
      <c r="G12" s="72" t="n"/>
      <c r="H12" s="72" t="n"/>
      <c r="I12" s="72" t="n"/>
    </row>
    <row r="13">
      <c r="A13" s="70" t="n"/>
      <c r="B13" s="71" t="n"/>
      <c r="C13" s="72" t="n"/>
      <c r="D13" s="72" t="n"/>
      <c r="E13" s="60" t="n"/>
      <c r="F13" s="72" t="n"/>
      <c r="G13" s="72" t="n"/>
      <c r="H13" s="72" t="n"/>
      <c r="I13" s="72" t="n"/>
    </row>
    <row r="14">
      <c r="A14" s="70" t="n"/>
      <c r="B14" s="71" t="n"/>
      <c r="C14" s="72" t="n"/>
      <c r="D14" s="72" t="n"/>
      <c r="E14" s="60" t="n"/>
      <c r="F14" s="72" t="n"/>
      <c r="G14" s="72" t="n"/>
      <c r="H14" s="72" t="n"/>
      <c r="I14" s="72" t="n"/>
    </row>
    <row r="15">
      <c r="A15" s="70" t="n"/>
      <c r="B15" s="71" t="n"/>
      <c r="C15" s="72" t="n"/>
      <c r="D15" s="72" t="n"/>
      <c r="E15" s="60" t="n"/>
      <c r="F15" s="72" t="n"/>
      <c r="G15" s="72" t="n"/>
      <c r="H15" s="72" t="n"/>
      <c r="I15" s="72" t="n"/>
    </row>
    <row r="16">
      <c r="A16" s="70" t="n"/>
      <c r="B16" s="71" t="n"/>
      <c r="C16" s="72" t="n"/>
      <c r="D16" s="72" t="n"/>
      <c r="E16" s="60" t="n"/>
      <c r="F16" s="72" t="n"/>
      <c r="G16" s="72" t="n"/>
      <c r="H16" s="72" t="n"/>
      <c r="I16" s="72" t="n"/>
    </row>
    <row r="17">
      <c r="A17" s="70" t="n"/>
      <c r="B17" s="71" t="n"/>
      <c r="C17" s="72" t="n"/>
      <c r="D17" s="72" t="n"/>
      <c r="E17" s="60" t="n"/>
      <c r="F17" s="72" t="n"/>
      <c r="G17" s="72" t="n"/>
      <c r="H17" s="72" t="n"/>
      <c r="I17" s="72" t="n"/>
    </row>
    <row r="18">
      <c r="A18" s="70" t="n"/>
      <c r="B18" s="71" t="n"/>
      <c r="C18" s="72" t="n"/>
      <c r="D18" s="72" t="n"/>
      <c r="E18" s="60" t="n"/>
      <c r="F18" s="72" t="n"/>
      <c r="G18" s="72" t="n"/>
      <c r="H18" s="72" t="n"/>
      <c r="I18" s="72" t="n"/>
    </row>
    <row r="19">
      <c r="A19" s="70" t="n"/>
      <c r="B19" s="71" t="n"/>
      <c r="C19" s="72" t="n"/>
      <c r="D19" s="72" t="n"/>
      <c r="E19" s="60" t="n"/>
      <c r="F19" s="72" t="n"/>
      <c r="G19" s="72" t="n"/>
      <c r="H19" s="72" t="n"/>
      <c r="I19" s="72" t="n"/>
    </row>
    <row r="20">
      <c r="A20" s="70" t="n"/>
      <c r="B20" s="71" t="n"/>
      <c r="C20" s="72" t="n"/>
      <c r="D20" s="72" t="n"/>
      <c r="E20" s="60" t="n"/>
      <c r="F20" s="72" t="n"/>
      <c r="G20" s="72" t="n"/>
      <c r="H20" s="72" t="n"/>
      <c r="I20" s="72" t="n"/>
    </row>
    <row r="21">
      <c r="A21" s="70" t="n"/>
      <c r="B21" s="71" t="n"/>
      <c r="C21" s="72" t="n"/>
      <c r="D21" s="72" t="n"/>
      <c r="E21" s="60" t="n"/>
      <c r="F21" s="72" t="n"/>
      <c r="G21" s="72" t="n"/>
      <c r="H21" s="72" t="n"/>
      <c r="I21" s="72" t="n"/>
    </row>
    <row r="22">
      <c r="A22" s="70" t="n"/>
      <c r="B22" s="71" t="n"/>
      <c r="C22" s="72" t="n"/>
      <c r="D22" s="72" t="n"/>
      <c r="E22" s="60" t="n"/>
      <c r="F22" s="72" t="n"/>
      <c r="G22" s="72" t="n"/>
      <c r="H22" s="72" t="n"/>
      <c r="I22" s="72" t="n"/>
    </row>
    <row r="23">
      <c r="A23" s="70" t="n"/>
      <c r="B23" s="71" t="n"/>
      <c r="C23" s="72" t="n"/>
      <c r="D23" s="72" t="n"/>
      <c r="E23" s="60" t="n"/>
      <c r="F23" s="72" t="n"/>
      <c r="G23" s="72" t="n"/>
      <c r="H23" s="72" t="n"/>
      <c r="I23" s="72" t="n"/>
    </row>
    <row r="24">
      <c r="A24" s="70" t="n"/>
      <c r="B24" s="71" t="n"/>
      <c r="C24" s="72" t="n"/>
      <c r="D24" s="72" t="n"/>
      <c r="E24" s="60" t="n"/>
      <c r="F24" s="72" t="n"/>
      <c r="G24" s="72" t="n"/>
      <c r="H24" s="72" t="n"/>
      <c r="I24" s="72" t="n"/>
    </row>
    <row r="25">
      <c r="A25" s="70" t="n"/>
      <c r="B25" s="71" t="n"/>
      <c r="C25" s="72" t="n"/>
      <c r="D25" s="72" t="n"/>
      <c r="E25" s="60" t="n"/>
      <c r="F25" s="72" t="n"/>
      <c r="G25" s="72" t="n"/>
      <c r="H25" s="72" t="n"/>
      <c r="I25" s="72" t="n"/>
    </row>
    <row r="26">
      <c r="A26" s="70" t="n"/>
      <c r="B26" s="71" t="n"/>
      <c r="C26" s="72" t="n"/>
      <c r="D26" s="72" t="n"/>
      <c r="E26" s="60" t="n"/>
      <c r="F26" s="72" t="n"/>
      <c r="G26" s="72" t="n"/>
      <c r="H26" s="72" t="n"/>
      <c r="I26" s="72" t="n"/>
    </row>
    <row r="27">
      <c r="A27" s="70" t="n"/>
      <c r="B27" s="71" t="n"/>
      <c r="C27" s="72" t="n"/>
      <c r="D27" s="72" t="n"/>
      <c r="E27" s="60" t="n"/>
      <c r="F27" s="72" t="n"/>
      <c r="G27" s="72" t="n"/>
      <c r="H27" s="72" t="n"/>
      <c r="I27" s="72" t="n"/>
    </row>
    <row r="28">
      <c r="A28" s="70" t="n"/>
      <c r="B28" s="71" t="n"/>
      <c r="C28" s="72" t="n"/>
      <c r="D28" s="72" t="n"/>
      <c r="E28" s="60" t="n"/>
      <c r="F28" s="72" t="n"/>
      <c r="G28" s="72" t="n"/>
      <c r="H28" s="72" t="n"/>
      <c r="I28" s="72" t="n"/>
    </row>
    <row r="29">
      <c r="A29" s="70" t="n"/>
      <c r="B29" s="71" t="n"/>
      <c r="C29" s="72" t="n"/>
      <c r="D29" s="72" t="n"/>
      <c r="E29" s="60" t="n"/>
      <c r="F29" s="72" t="n"/>
      <c r="G29" s="72" t="n"/>
      <c r="H29" s="72" t="n"/>
      <c r="I29" s="72" t="n"/>
    </row>
    <row r="30">
      <c r="A30" s="70" t="n"/>
      <c r="B30" s="71" t="n"/>
      <c r="C30" s="72" t="n"/>
      <c r="D30" s="72" t="n"/>
      <c r="E30" s="60" t="n"/>
      <c r="F30" s="72" t="n"/>
      <c r="G30" s="72" t="n"/>
      <c r="H30" s="72" t="n"/>
      <c r="I30" s="72" t="n"/>
    </row>
    <row r="31">
      <c r="A31" s="70" t="n"/>
      <c r="B31" s="71" t="n"/>
      <c r="C31" s="72" t="n"/>
      <c r="D31" s="72" t="n"/>
      <c r="E31" s="60" t="n"/>
      <c r="F31" s="72" t="n"/>
      <c r="G31" s="72" t="n"/>
      <c r="H31" s="72" t="n"/>
      <c r="I31" s="72" t="n"/>
    </row>
    <row r="32">
      <c r="A32" s="70" t="n"/>
      <c r="B32" s="71" t="n"/>
      <c r="C32" s="72" t="n"/>
      <c r="D32" s="72" t="n"/>
      <c r="E32" s="60" t="n"/>
      <c r="F32" s="72" t="n"/>
      <c r="G32" s="72" t="n"/>
      <c r="H32" s="72" t="n"/>
      <c r="I32" s="72" t="n"/>
    </row>
    <row r="33">
      <c r="A33" s="70" t="n"/>
      <c r="B33" s="71" t="n"/>
      <c r="C33" s="72" t="n"/>
      <c r="D33" s="72" t="n"/>
      <c r="E33" s="60" t="n"/>
      <c r="F33" s="72" t="n"/>
      <c r="G33" s="72" t="n"/>
      <c r="H33" s="72" t="n"/>
      <c r="I33" s="72" t="n"/>
    </row>
    <row r="34">
      <c r="A34" s="70" t="n"/>
      <c r="B34" s="71" t="n"/>
      <c r="C34" s="72" t="n"/>
      <c r="D34" s="72" t="n"/>
      <c r="E34" s="60" t="n"/>
      <c r="F34" s="72" t="n"/>
      <c r="G34" s="72" t="n"/>
      <c r="H34" s="72" t="n"/>
      <c r="I34" s="72" t="n"/>
    </row>
    <row r="35">
      <c r="A35" s="70" t="n"/>
      <c r="B35" s="71" t="n"/>
      <c r="C35" s="72" t="n"/>
      <c r="D35" s="72" t="n"/>
      <c r="E35" s="60" t="n"/>
      <c r="F35" s="72" t="n"/>
      <c r="G35" s="72" t="n"/>
      <c r="H35" s="72" t="n"/>
      <c r="I35" s="72" t="n"/>
    </row>
    <row r="36">
      <c r="A36" s="70" t="n"/>
      <c r="B36" s="71" t="n"/>
      <c r="C36" s="72" t="n"/>
      <c r="D36" s="72" t="n"/>
      <c r="E36" s="60" t="n"/>
      <c r="F36" s="72" t="n"/>
      <c r="G36" s="72" t="n"/>
      <c r="H36" s="72" t="n"/>
      <c r="I36" s="72" t="n"/>
    </row>
    <row r="37">
      <c r="A37" s="70" t="n"/>
      <c r="B37" s="71" t="n"/>
      <c r="C37" s="72" t="n"/>
      <c r="D37" s="72" t="n"/>
      <c r="E37" s="60" t="n"/>
      <c r="F37" s="72" t="n"/>
      <c r="G37" s="72" t="n"/>
      <c r="H37" s="72" t="n"/>
      <c r="I37" s="72" t="n"/>
    </row>
    <row r="38">
      <c r="A38" s="70" t="n"/>
      <c r="B38" s="71" t="n"/>
      <c r="C38" s="72" t="n"/>
      <c r="D38" s="72" t="n"/>
      <c r="E38" s="60" t="n"/>
      <c r="F38" s="72" t="n"/>
      <c r="G38" s="72" t="n"/>
      <c r="H38" s="72" t="n"/>
      <c r="I38" s="72" t="n"/>
    </row>
    <row r="39">
      <c r="A39" s="70" t="n"/>
      <c r="B39" s="71" t="n"/>
      <c r="C39" s="72" t="n"/>
      <c r="D39" s="72" t="n"/>
      <c r="E39" s="60" t="n"/>
      <c r="F39" s="72" t="n"/>
      <c r="G39" s="72" t="n"/>
      <c r="H39" s="72" t="n"/>
      <c r="I39" s="72" t="n"/>
    </row>
    <row r="40">
      <c r="A40" s="70" t="n"/>
      <c r="B40" s="71" t="n"/>
      <c r="C40" s="72" t="n"/>
      <c r="D40" s="72" t="n"/>
      <c r="E40" s="60" t="n"/>
      <c r="F40" s="72" t="n"/>
      <c r="G40" s="72" t="n"/>
      <c r="H40" s="72" t="n"/>
      <c r="I40" s="72" t="n"/>
    </row>
    <row r="41">
      <c r="A41" s="70" t="n"/>
      <c r="B41" s="71" t="n"/>
      <c r="C41" s="72" t="n"/>
      <c r="D41" s="72" t="n"/>
      <c r="E41" s="60" t="n"/>
      <c r="F41" s="72" t="n"/>
      <c r="G41" s="72" t="n"/>
      <c r="H41" s="72" t="n"/>
      <c r="I41" s="72" t="n"/>
    </row>
    <row r="42">
      <c r="A42" s="70" t="n"/>
      <c r="B42" s="71" t="n"/>
      <c r="C42" s="72" t="n"/>
      <c r="D42" s="72" t="n"/>
      <c r="E42" s="60" t="n"/>
      <c r="F42" s="72" t="n"/>
      <c r="G42" s="72" t="n"/>
      <c r="H42" s="72" t="n"/>
      <c r="I42" s="72" t="n"/>
    </row>
    <row r="43">
      <c r="A43" s="70" t="n"/>
      <c r="B43" s="71" t="n"/>
      <c r="C43" s="72" t="n"/>
      <c r="D43" s="72" t="n"/>
      <c r="E43" s="60" t="n"/>
      <c r="F43" s="72" t="n"/>
      <c r="G43" s="72" t="n"/>
      <c r="H43" s="72" t="n"/>
      <c r="I43" s="72" t="n"/>
    </row>
    <row r="44">
      <c r="A44" s="70" t="n"/>
      <c r="B44" s="71" t="n"/>
      <c r="C44" s="72" t="n"/>
      <c r="D44" s="72" t="n"/>
      <c r="E44" s="60" t="n"/>
      <c r="F44" s="72" t="n"/>
      <c r="G44" s="72" t="n"/>
      <c r="H44" s="72" t="n"/>
      <c r="I44" s="72" t="n"/>
    </row>
    <row r="45">
      <c r="A45" s="70" t="n"/>
      <c r="B45" s="71" t="n"/>
      <c r="C45" s="72" t="n"/>
      <c r="D45" s="72" t="n"/>
      <c r="E45" s="60" t="n"/>
      <c r="F45" s="72" t="n"/>
      <c r="G45" s="72" t="n"/>
      <c r="H45" s="72" t="n"/>
      <c r="I45" s="72" t="n"/>
    </row>
    <row r="46">
      <c r="A46" s="70" t="n"/>
      <c r="B46" s="71" t="n"/>
      <c r="C46" s="72" t="n"/>
      <c r="D46" s="72" t="n"/>
      <c r="E46" s="60" t="n"/>
      <c r="F46" s="72" t="n"/>
      <c r="G46" s="72" t="n"/>
      <c r="H46" s="72" t="n"/>
      <c r="I46" s="72" t="n"/>
    </row>
    <row r="47">
      <c r="A47" s="70" t="n"/>
      <c r="B47" s="71" t="n"/>
      <c r="C47" s="72" t="n"/>
      <c r="D47" s="72" t="n"/>
      <c r="E47" s="60" t="n"/>
      <c r="F47" s="72" t="n"/>
      <c r="G47" s="72" t="n"/>
      <c r="H47" s="72" t="n"/>
      <c r="I47" s="72" t="n"/>
    </row>
    <row r="48">
      <c r="A48" s="70" t="n"/>
      <c r="B48" s="71" t="n"/>
      <c r="C48" s="72" t="n"/>
      <c r="D48" s="72" t="n"/>
      <c r="E48" s="60" t="n"/>
      <c r="F48" s="72" t="n"/>
      <c r="G48" s="72" t="n"/>
      <c r="H48" s="72" t="n"/>
      <c r="I48" s="72" t="n"/>
    </row>
    <row r="49">
      <c r="A49" s="70" t="n"/>
      <c r="B49" s="71" t="n"/>
      <c r="C49" s="72" t="n"/>
      <c r="D49" s="72" t="n"/>
      <c r="E49" s="60" t="n"/>
      <c r="F49" s="72" t="n"/>
      <c r="G49" s="72" t="n"/>
      <c r="H49" s="72" t="n"/>
      <c r="I49" s="72" t="n"/>
    </row>
    <row r="50">
      <c r="A50" s="70" t="n"/>
      <c r="B50" s="71" t="n"/>
      <c r="C50" s="72" t="n"/>
      <c r="D50" s="72" t="n"/>
      <c r="E50" s="60" t="n"/>
      <c r="F50" s="72" t="n"/>
      <c r="G50" s="72" t="n"/>
      <c r="H50" s="72" t="n"/>
      <c r="I50" s="72" t="n"/>
    </row>
    <row r="51">
      <c r="A51" s="70" t="n"/>
      <c r="B51" s="71" t="n"/>
      <c r="C51" s="72" t="n"/>
      <c r="D51" s="72" t="n"/>
      <c r="E51" s="60" t="n"/>
      <c r="F51" s="72" t="n"/>
      <c r="G51" s="72" t="n"/>
      <c r="H51" s="72" t="n"/>
      <c r="I51" s="72" t="n"/>
    </row>
    <row r="52">
      <c r="A52" s="70" t="n"/>
      <c r="B52" s="71" t="n"/>
      <c r="C52" s="72" t="n"/>
      <c r="D52" s="72" t="n"/>
      <c r="E52" s="60" t="n"/>
      <c r="F52" s="72" t="n"/>
      <c r="G52" s="72" t="n"/>
      <c r="H52" s="72" t="n"/>
      <c r="I52" s="72" t="n"/>
    </row>
    <row r="53">
      <c r="A53" s="70" t="n"/>
      <c r="B53" s="71" t="n"/>
      <c r="C53" s="72" t="n"/>
      <c r="D53" s="72" t="n"/>
      <c r="E53" s="60" t="n"/>
      <c r="F53" s="72" t="n"/>
      <c r="G53" s="72" t="n"/>
      <c r="H53" s="72" t="n"/>
      <c r="I53" s="72" t="n"/>
    </row>
    <row r="54">
      <c r="A54" s="70" t="n"/>
      <c r="B54" s="71" t="n"/>
      <c r="C54" s="72" t="n"/>
      <c r="D54" s="72" t="n"/>
      <c r="E54" s="60" t="n"/>
      <c r="F54" s="72" t="n"/>
      <c r="G54" s="72" t="n"/>
      <c r="H54" s="72" t="n"/>
      <c r="I54" s="72" t="n"/>
    </row>
    <row r="55">
      <c r="A55" s="70" t="n"/>
      <c r="B55" s="71" t="n"/>
      <c r="C55" s="72" t="n"/>
      <c r="D55" s="72" t="n"/>
      <c r="E55" s="60" t="n"/>
      <c r="F55" s="72" t="n"/>
      <c r="G55" s="72" t="n"/>
      <c r="H55" s="72" t="n"/>
      <c r="I55" s="72" t="n"/>
    </row>
    <row r="56">
      <c r="A56" s="70" t="n"/>
      <c r="B56" s="71" t="n"/>
      <c r="C56" s="72" t="n"/>
      <c r="D56" s="72" t="n"/>
      <c r="E56" s="60" t="n"/>
      <c r="F56" s="72" t="n"/>
      <c r="G56" s="72" t="n"/>
      <c r="H56" s="72" t="n"/>
      <c r="I56" s="72" t="n"/>
    </row>
    <row r="57">
      <c r="A57" s="70" t="n"/>
      <c r="B57" s="71" t="n"/>
      <c r="C57" s="72" t="n"/>
      <c r="D57" s="72" t="n"/>
      <c r="E57" s="60" t="n"/>
      <c r="F57" s="72" t="n"/>
      <c r="G57" s="72" t="n"/>
      <c r="H57" s="72" t="n"/>
      <c r="I57" s="72" t="n"/>
    </row>
    <row r="58">
      <c r="A58" s="70" t="n"/>
      <c r="B58" s="71" t="n"/>
      <c r="C58" s="72" t="n"/>
      <c r="D58" s="72" t="n"/>
      <c r="E58" s="60" t="n"/>
      <c r="F58" s="72" t="n"/>
      <c r="G58" s="72" t="n"/>
      <c r="H58" s="72" t="n"/>
      <c r="I58" s="72" t="n"/>
    </row>
    <row r="59">
      <c r="A59" s="70" t="n"/>
      <c r="B59" s="71" t="n"/>
      <c r="C59" s="72" t="n"/>
      <c r="D59" s="72" t="n"/>
      <c r="E59" s="60" t="n"/>
      <c r="F59" s="72" t="n"/>
      <c r="G59" s="72" t="n"/>
      <c r="H59" s="72" t="n"/>
      <c r="I59" s="72" t="n"/>
    </row>
    <row r="60">
      <c r="A60" s="70" t="n"/>
      <c r="B60" s="71" t="n"/>
      <c r="C60" s="72" t="n"/>
      <c r="D60" s="72" t="n"/>
      <c r="E60" s="60" t="n"/>
      <c r="F60" s="72" t="n"/>
      <c r="G60" s="72" t="n"/>
      <c r="H60" s="72" t="n"/>
      <c r="I60" s="72" t="n"/>
    </row>
    <row r="61">
      <c r="A61" s="70" t="n"/>
      <c r="B61" s="71" t="n"/>
      <c r="C61" s="72" t="n"/>
      <c r="D61" s="72" t="n"/>
      <c r="E61" s="60" t="n"/>
      <c r="F61" s="72" t="n"/>
      <c r="G61" s="72" t="n"/>
      <c r="H61" s="72" t="n"/>
      <c r="I61" s="72" t="n"/>
    </row>
    <row r="62">
      <c r="A62" s="70" t="n"/>
      <c r="B62" s="71" t="n"/>
      <c r="C62" s="72" t="n"/>
      <c r="D62" s="72" t="n"/>
      <c r="E62" s="60" t="n"/>
      <c r="F62" s="72" t="n"/>
      <c r="G62" s="72" t="n"/>
      <c r="H62" s="72" t="n"/>
      <c r="I62" s="72" t="n"/>
    </row>
    <row r="63">
      <c r="A63" s="70" t="n"/>
      <c r="B63" s="71" t="n"/>
      <c r="C63" s="72" t="n"/>
      <c r="D63" s="72" t="n"/>
      <c r="E63" s="60" t="n"/>
      <c r="F63" s="72" t="n"/>
      <c r="G63" s="72" t="n"/>
      <c r="H63" s="72" t="n"/>
      <c r="I63" s="72" t="n"/>
    </row>
    <row r="64">
      <c r="A64" s="70" t="n"/>
      <c r="B64" s="71" t="n"/>
      <c r="C64" s="72" t="n"/>
      <c r="D64" s="72" t="n"/>
      <c r="E64" s="60" t="n"/>
      <c r="F64" s="72" t="n"/>
      <c r="G64" s="72" t="n"/>
      <c r="H64" s="72" t="n"/>
      <c r="I64" s="72" t="n"/>
    </row>
    <row r="65">
      <c r="A65" s="70" t="n"/>
      <c r="B65" s="71" t="n"/>
      <c r="C65" s="72" t="n"/>
      <c r="D65" s="72" t="n"/>
      <c r="E65" s="60" t="n"/>
      <c r="F65" s="72" t="n"/>
      <c r="G65" s="72" t="n"/>
      <c r="H65" s="72" t="n"/>
      <c r="I65" s="72" t="n"/>
    </row>
    <row r="66">
      <c r="A66" s="70" t="n"/>
      <c r="B66" s="71" t="n"/>
      <c r="C66" s="72" t="n"/>
      <c r="D66" s="72" t="n"/>
      <c r="E66" s="60" t="n"/>
      <c r="F66" s="72" t="n"/>
      <c r="G66" s="72" t="n"/>
      <c r="H66" s="72" t="n"/>
      <c r="I66" s="72" t="n"/>
    </row>
    <row r="67">
      <c r="A67" s="70" t="n"/>
      <c r="B67" s="71" t="n"/>
      <c r="C67" s="72" t="n"/>
      <c r="D67" s="72" t="n"/>
      <c r="E67" s="60" t="n"/>
      <c r="F67" s="72" t="n"/>
      <c r="G67" s="72" t="n"/>
      <c r="H67" s="72" t="n"/>
      <c r="I67" s="72" t="n"/>
    </row>
    <row r="68">
      <c r="A68" s="70" t="n"/>
      <c r="B68" s="71" t="n"/>
      <c r="C68" s="72" t="n"/>
      <c r="D68" s="72" t="n"/>
      <c r="E68" s="60" t="n"/>
      <c r="F68" s="72" t="n"/>
      <c r="G68" s="72" t="n"/>
      <c r="H68" s="72" t="n"/>
      <c r="I68" s="72" t="n"/>
    </row>
    <row r="69">
      <c r="A69" s="70" t="n"/>
      <c r="B69" s="71" t="n"/>
      <c r="C69" s="72" t="n"/>
      <c r="D69" s="72" t="n"/>
      <c r="E69" s="60" t="n"/>
      <c r="F69" s="72" t="n"/>
      <c r="G69" s="72" t="n"/>
      <c r="H69" s="72" t="n"/>
      <c r="I69" s="72" t="n"/>
    </row>
    <row r="70">
      <c r="A70" s="70" t="n"/>
      <c r="B70" s="71" t="n"/>
      <c r="C70" s="72" t="n"/>
      <c r="D70" s="72" t="n"/>
      <c r="E70" s="60" t="n"/>
      <c r="F70" s="72" t="n"/>
      <c r="G70" s="72" t="n"/>
      <c r="H70" s="72" t="n"/>
      <c r="I70" s="72" t="n"/>
    </row>
    <row r="71">
      <c r="A71" s="70" t="n"/>
      <c r="B71" s="71" t="n"/>
      <c r="C71" s="72" t="n"/>
      <c r="D71" s="72" t="n"/>
      <c r="E71" s="60" t="n"/>
      <c r="F71" s="72" t="n"/>
      <c r="G71" s="72" t="n"/>
      <c r="H71" s="72" t="n"/>
      <c r="I71" s="72" t="n"/>
    </row>
    <row r="72">
      <c r="A72" s="70" t="n"/>
      <c r="B72" s="71" t="n"/>
      <c r="C72" s="72" t="n"/>
      <c r="D72" s="72" t="n"/>
      <c r="E72" s="60" t="n"/>
      <c r="F72" s="72" t="n"/>
      <c r="G72" s="72" t="n"/>
      <c r="H72" s="72" t="n"/>
      <c r="I72" s="72" t="n"/>
    </row>
    <row r="73">
      <c r="A73" s="70" t="n"/>
      <c r="B73" s="71" t="n"/>
      <c r="C73" s="72" t="n"/>
      <c r="D73" s="72" t="n"/>
      <c r="E73" s="60" t="n"/>
      <c r="F73" s="72" t="n"/>
      <c r="G73" s="72" t="n"/>
      <c r="H73" s="72" t="n"/>
      <c r="I73" s="72" t="n"/>
    </row>
    <row r="74">
      <c r="A74" s="70" t="n"/>
      <c r="B74" s="71" t="n"/>
      <c r="C74" s="72" t="n"/>
      <c r="D74" s="72" t="n"/>
      <c r="E74" s="60" t="n"/>
      <c r="F74" s="72" t="n"/>
      <c r="G74" s="72" t="n"/>
      <c r="H74" s="72" t="n"/>
      <c r="I74" s="72" t="n"/>
    </row>
    <row r="75">
      <c r="A75" s="70" t="n"/>
      <c r="B75" s="71" t="n"/>
      <c r="C75" s="72" t="n"/>
      <c r="D75" s="72" t="n"/>
      <c r="E75" s="60" t="n"/>
      <c r="F75" s="72" t="n"/>
      <c r="G75" s="72" t="n"/>
      <c r="H75" s="72" t="n"/>
      <c r="I75" s="72" t="n"/>
    </row>
    <row r="76">
      <c r="A76" s="70" t="n"/>
      <c r="B76" s="71" t="n"/>
      <c r="C76" s="72" t="n"/>
      <c r="D76" s="72" t="n"/>
      <c r="E76" s="60" t="n"/>
      <c r="F76" s="72" t="n"/>
      <c r="G76" s="72" t="n"/>
      <c r="H76" s="72" t="n"/>
      <c r="I76" s="72" t="n"/>
    </row>
    <row r="77">
      <c r="A77" s="70" t="n"/>
      <c r="B77" s="71" t="n"/>
      <c r="C77" s="72" t="n"/>
      <c r="D77" s="72" t="n"/>
      <c r="E77" s="60" t="n"/>
      <c r="F77" s="72" t="n"/>
      <c r="G77" s="72" t="n"/>
      <c r="H77" s="72" t="n"/>
      <c r="I77" s="72" t="n"/>
    </row>
    <row r="78">
      <c r="A78" s="70" t="n"/>
      <c r="B78" s="71" t="n"/>
      <c r="C78" s="72" t="n"/>
      <c r="D78" s="72" t="n"/>
      <c r="E78" s="60" t="n"/>
      <c r="F78" s="72" t="n"/>
      <c r="G78" s="72" t="n"/>
      <c r="H78" s="72" t="n"/>
      <c r="I78" s="72" t="n"/>
    </row>
    <row r="79">
      <c r="A79" s="70" t="n"/>
      <c r="B79" s="71" t="n"/>
      <c r="C79" s="72" t="n"/>
      <c r="D79" s="72" t="n"/>
      <c r="E79" s="60" t="n"/>
      <c r="F79" s="72" t="n"/>
      <c r="G79" s="72" t="n"/>
      <c r="H79" s="72" t="n"/>
      <c r="I79" s="72" t="n"/>
    </row>
    <row r="80">
      <c r="A80" s="70" t="n"/>
      <c r="B80" s="71" t="n"/>
      <c r="C80" s="72" t="n"/>
      <c r="D80" s="72" t="n"/>
      <c r="E80" s="60" t="n"/>
      <c r="F80" s="72" t="n"/>
      <c r="G80" s="72" t="n"/>
      <c r="H80" s="72" t="n"/>
      <c r="I80" s="72" t="n"/>
    </row>
    <row r="81">
      <c r="A81" s="70" t="n"/>
      <c r="B81" s="71" t="n"/>
      <c r="C81" s="72" t="n"/>
      <c r="D81" s="72" t="n"/>
      <c r="E81" s="60" t="n"/>
      <c r="F81" s="72" t="n"/>
      <c r="G81" s="72" t="n"/>
      <c r="H81" s="72" t="n"/>
      <c r="I81" s="72" t="n"/>
    </row>
    <row r="82">
      <c r="A82" s="70" t="n"/>
      <c r="B82" s="71" t="n"/>
      <c r="C82" s="72" t="n"/>
      <c r="D82" s="72" t="n"/>
      <c r="E82" s="60" t="n"/>
      <c r="F82" s="72" t="n"/>
      <c r="G82" s="72" t="n"/>
      <c r="H82" s="72" t="n"/>
      <c r="I82" s="72" t="n"/>
    </row>
    <row r="83">
      <c r="A83" s="70" t="n"/>
      <c r="B83" s="71" t="n"/>
      <c r="C83" s="72" t="n"/>
      <c r="D83" s="72" t="n"/>
      <c r="E83" s="60" t="n"/>
      <c r="F83" s="72" t="n"/>
      <c r="G83" s="72" t="n"/>
      <c r="H83" s="72" t="n"/>
      <c r="I83" s="72" t="n"/>
    </row>
    <row r="84">
      <c r="A84" s="70" t="n"/>
      <c r="B84" s="71" t="n"/>
      <c r="C84" s="72" t="n"/>
      <c r="D84" s="72" t="n"/>
      <c r="E84" s="60" t="n"/>
      <c r="F84" s="72" t="n"/>
      <c r="G84" s="72" t="n"/>
      <c r="H84" s="72" t="n"/>
      <c r="I84" s="72" t="n"/>
    </row>
    <row r="85">
      <c r="A85" s="70" t="n"/>
      <c r="B85" s="71" t="n"/>
      <c r="C85" s="72" t="n"/>
      <c r="D85" s="72" t="n"/>
      <c r="E85" s="60" t="n"/>
      <c r="F85" s="72" t="n"/>
      <c r="G85" s="72" t="n"/>
      <c r="H85" s="72" t="n"/>
      <c r="I85" s="72" t="n"/>
    </row>
    <row r="86">
      <c r="A86" s="70" t="n"/>
      <c r="B86" s="71" t="n"/>
      <c r="C86" s="72" t="n"/>
      <c r="D86" s="72" t="n"/>
      <c r="E86" s="60" t="n"/>
      <c r="F86" s="72" t="n"/>
      <c r="G86" s="72" t="n"/>
      <c r="H86" s="72" t="n"/>
      <c r="I86" s="72" t="n"/>
    </row>
    <row r="87">
      <c r="A87" s="70" t="n"/>
      <c r="B87" s="71" t="n"/>
      <c r="C87" s="72" t="n"/>
      <c r="D87" s="72" t="n"/>
      <c r="E87" s="60" t="n"/>
      <c r="F87" s="72" t="n"/>
      <c r="G87" s="72" t="n"/>
      <c r="H87" s="72" t="n"/>
      <c r="I87" s="72" t="n"/>
    </row>
    <row r="88">
      <c r="A88" s="70" t="n"/>
      <c r="B88" s="71" t="n"/>
      <c r="C88" s="72" t="n"/>
      <c r="D88" s="72" t="n"/>
      <c r="E88" s="60" t="n"/>
      <c r="F88" s="72" t="n"/>
      <c r="G88" s="72" t="n"/>
      <c r="H88" s="72" t="n"/>
      <c r="I88" s="72" t="n"/>
    </row>
    <row r="89">
      <c r="A89" s="70" t="n"/>
      <c r="B89" s="71" t="n"/>
      <c r="C89" s="72" t="n"/>
      <c r="D89" s="72" t="n"/>
      <c r="E89" s="60" t="n"/>
      <c r="F89" s="72" t="n"/>
      <c r="G89" s="72" t="n"/>
      <c r="H89" s="72" t="n"/>
      <c r="I89" s="72" t="n"/>
    </row>
    <row r="90">
      <c r="A90" s="70" t="n"/>
      <c r="B90" s="71" t="n"/>
      <c r="C90" s="72" t="n"/>
      <c r="D90" s="72" t="n"/>
      <c r="E90" s="60" t="n"/>
      <c r="F90" s="72" t="n"/>
      <c r="G90" s="72" t="n"/>
      <c r="H90" s="72" t="n"/>
      <c r="I90" s="72" t="n"/>
    </row>
    <row r="91">
      <c r="A91" s="70" t="n"/>
      <c r="B91" s="71" t="n"/>
      <c r="C91" s="72" t="n"/>
      <c r="D91" s="72" t="n"/>
      <c r="E91" s="60" t="n"/>
      <c r="F91" s="72" t="n"/>
      <c r="G91" s="72" t="n"/>
      <c r="H91" s="72" t="n"/>
      <c r="I91" s="72" t="n"/>
    </row>
    <row r="92">
      <c r="A92" s="70" t="n"/>
      <c r="B92" s="71" t="n"/>
      <c r="C92" s="72" t="n"/>
      <c r="D92" s="72" t="n"/>
      <c r="E92" s="60" t="n"/>
      <c r="F92" s="72" t="n"/>
      <c r="G92" s="72" t="n"/>
      <c r="H92" s="72" t="n"/>
      <c r="I92" s="72" t="n"/>
    </row>
    <row r="93">
      <c r="A93" s="70" t="n"/>
      <c r="B93" s="71" t="n"/>
      <c r="C93" s="72" t="n"/>
      <c r="D93" s="72" t="n"/>
      <c r="E93" s="60" t="n"/>
      <c r="F93" s="72" t="n"/>
      <c r="G93" s="72" t="n"/>
      <c r="H93" s="72" t="n"/>
      <c r="I93" s="72" t="n"/>
    </row>
    <row r="94">
      <c r="A94" s="70" t="n"/>
      <c r="B94" s="71" t="n"/>
      <c r="C94" s="72" t="n"/>
      <c r="D94" s="72" t="n"/>
      <c r="E94" s="60" t="n"/>
      <c r="F94" s="72" t="n"/>
      <c r="G94" s="72" t="n"/>
      <c r="H94" s="72" t="n"/>
      <c r="I94" s="72" t="n"/>
    </row>
    <row r="95">
      <c r="A95" s="70" t="n"/>
      <c r="B95" s="71" t="n"/>
      <c r="C95" s="72" t="n"/>
      <c r="D95" s="72" t="n"/>
      <c r="E95" s="60" t="n"/>
      <c r="F95" s="72" t="n"/>
      <c r="G95" s="72" t="n"/>
      <c r="H95" s="72" t="n"/>
      <c r="I95" s="72" t="n"/>
    </row>
    <row r="96">
      <c r="A96" s="70" t="n"/>
      <c r="B96" s="71" t="n"/>
      <c r="C96" s="72" t="n"/>
      <c r="D96" s="72" t="n"/>
      <c r="E96" s="60" t="n"/>
      <c r="F96" s="72" t="n"/>
      <c r="G96" s="72" t="n"/>
      <c r="H96" s="72" t="n"/>
      <c r="I96" s="72" t="n"/>
    </row>
    <row r="97">
      <c r="A97" s="70" t="n"/>
      <c r="B97" s="71" t="n"/>
      <c r="C97" s="72" t="n"/>
      <c r="D97" s="72" t="n"/>
      <c r="E97" s="60" t="n"/>
      <c r="F97" s="72" t="n"/>
      <c r="G97" s="72" t="n"/>
      <c r="H97" s="72" t="n"/>
      <c r="I97" s="72" t="n"/>
    </row>
    <row r="98">
      <c r="A98" s="70" t="n"/>
      <c r="B98" s="71" t="n"/>
      <c r="C98" s="72" t="n"/>
      <c r="D98" s="72" t="n"/>
      <c r="E98" s="60" t="n"/>
      <c r="F98" s="72" t="n"/>
      <c r="G98" s="72" t="n"/>
      <c r="H98" s="72" t="n"/>
      <c r="I98" s="72" t="n"/>
    </row>
    <row r="99">
      <c r="A99" s="70" t="n"/>
      <c r="B99" s="71" t="n"/>
      <c r="C99" s="72" t="n"/>
      <c r="D99" s="72" t="n"/>
      <c r="E99" s="60" t="n"/>
      <c r="F99" s="72" t="n"/>
      <c r="G99" s="72" t="n"/>
      <c r="H99" s="72" t="n"/>
      <c r="I99" s="72" t="n"/>
    </row>
    <row r="100">
      <c r="A100" s="70" t="n"/>
      <c r="B100" s="71" t="n"/>
      <c r="C100" s="72" t="n"/>
      <c r="D100" s="72" t="n"/>
      <c r="E100" s="60" t="n"/>
      <c r="F100" s="72" t="n"/>
      <c r="G100" s="72" t="n"/>
      <c r="H100" s="72" t="n"/>
      <c r="I100" s="72" t="n"/>
    </row>
    <row r="101">
      <c r="A101" s="70" t="n"/>
      <c r="B101" s="71" t="n"/>
      <c r="C101" s="72" t="n"/>
      <c r="D101" s="72" t="n"/>
      <c r="E101" s="60" t="n"/>
      <c r="F101" s="72" t="n"/>
      <c r="G101" s="72" t="n"/>
      <c r="H101" s="72" t="n"/>
      <c r="I101" s="72" t="n"/>
    </row>
    <row r="102">
      <c r="A102" s="70" t="n"/>
      <c r="B102" s="71" t="n"/>
      <c r="C102" s="72" t="n"/>
      <c r="D102" s="72" t="n"/>
      <c r="E102" s="60" t="n"/>
      <c r="F102" s="72" t="n"/>
      <c r="G102" s="72" t="n"/>
      <c r="H102" s="72" t="n"/>
      <c r="I102" s="72" t="n"/>
    </row>
    <row r="103">
      <c r="A103" s="70" t="n"/>
      <c r="B103" s="71" t="n"/>
      <c r="C103" s="72" t="n"/>
      <c r="D103" s="72" t="n"/>
      <c r="E103" s="60" t="n"/>
      <c r="F103" s="72" t="n"/>
      <c r="G103" s="72" t="n"/>
      <c r="H103" s="72" t="n"/>
      <c r="I103" s="72" t="n"/>
    </row>
    <row r="104">
      <c r="A104" s="70" t="n"/>
      <c r="B104" s="71" t="n"/>
      <c r="C104" s="72" t="n"/>
      <c r="D104" s="72" t="n"/>
      <c r="E104" s="60" t="n"/>
      <c r="F104" s="72" t="n"/>
      <c r="G104" s="72" t="n"/>
      <c r="H104" s="72" t="n"/>
      <c r="I104" s="72" t="n"/>
    </row>
    <row r="105">
      <c r="A105" s="70" t="n"/>
      <c r="B105" s="71" t="n"/>
      <c r="C105" s="72" t="n"/>
      <c r="D105" s="72" t="n"/>
      <c r="E105" s="60" t="n"/>
      <c r="F105" s="72" t="n"/>
      <c r="G105" s="72" t="n"/>
      <c r="H105" s="72" t="n"/>
      <c r="I105" s="72" t="n"/>
    </row>
    <row r="106">
      <c r="A106" s="70" t="n"/>
      <c r="B106" s="71" t="n"/>
      <c r="C106" s="72" t="n"/>
      <c r="D106" s="72" t="n"/>
      <c r="E106" s="60" t="n"/>
      <c r="F106" s="72" t="n"/>
      <c r="G106" s="72" t="n"/>
      <c r="H106" s="72" t="n"/>
      <c r="I106" s="72" t="n"/>
    </row>
    <row r="107">
      <c r="A107" s="70" t="n"/>
      <c r="B107" s="71" t="n"/>
      <c r="C107" s="72" t="n"/>
      <c r="D107" s="72" t="n"/>
      <c r="E107" s="60" t="n"/>
      <c r="F107" s="72" t="n"/>
      <c r="G107" s="72" t="n"/>
      <c r="H107" s="72" t="n"/>
      <c r="I107" s="72" t="n"/>
    </row>
    <row r="108">
      <c r="A108" s="70" t="n"/>
      <c r="B108" s="71" t="n"/>
      <c r="C108" s="72" t="n"/>
      <c r="D108" s="72" t="n"/>
      <c r="E108" s="60" t="n"/>
      <c r="F108" s="72" t="n"/>
      <c r="G108" s="72" t="n"/>
      <c r="H108" s="72" t="n"/>
      <c r="I108" s="72" t="n"/>
    </row>
    <row r="109">
      <c r="A109" s="70" t="n"/>
      <c r="B109" s="71" t="n"/>
      <c r="C109" s="72" t="n"/>
      <c r="D109" s="72" t="n"/>
      <c r="E109" s="60" t="n"/>
      <c r="F109" s="72" t="n"/>
      <c r="G109" s="72" t="n"/>
      <c r="H109" s="72" t="n"/>
      <c r="I109" s="72" t="n"/>
    </row>
    <row r="110">
      <c r="A110" s="70" t="n"/>
      <c r="B110" s="71" t="n"/>
      <c r="C110" s="72" t="n"/>
      <c r="D110" s="72" t="n"/>
      <c r="E110" s="60" t="n"/>
      <c r="F110" s="72" t="n"/>
      <c r="G110" s="72" t="n"/>
      <c r="H110" s="72" t="n"/>
      <c r="I110" s="72" t="n"/>
    </row>
    <row r="111">
      <c r="A111" s="70" t="n"/>
      <c r="B111" s="71" t="n"/>
      <c r="C111" s="72" t="n"/>
      <c r="D111" s="72" t="n"/>
      <c r="E111" s="60" t="n"/>
      <c r="F111" s="72" t="n"/>
      <c r="G111" s="72" t="n"/>
      <c r="H111" s="72" t="n"/>
      <c r="I111" s="72" t="n"/>
    </row>
    <row r="112">
      <c r="A112" s="70" t="n"/>
      <c r="B112" s="71" t="n"/>
      <c r="C112" s="72" t="n"/>
      <c r="D112" s="72" t="n"/>
      <c r="E112" s="60" t="n"/>
      <c r="F112" s="72" t="n"/>
      <c r="G112" s="72" t="n"/>
      <c r="H112" s="72" t="n"/>
      <c r="I112" s="72" t="n"/>
    </row>
    <row r="113">
      <c r="A113" s="70" t="n"/>
      <c r="B113" s="71" t="n"/>
      <c r="C113" s="72" t="n"/>
      <c r="D113" s="72" t="n"/>
      <c r="E113" s="60" t="n"/>
      <c r="F113" s="72" t="n"/>
      <c r="G113" s="72" t="n"/>
      <c r="H113" s="72" t="n"/>
      <c r="I113" s="72" t="n"/>
    </row>
    <row r="114">
      <c r="A114" s="70" t="n"/>
      <c r="B114" s="71" t="n"/>
      <c r="C114" s="72" t="n"/>
      <c r="D114" s="72" t="n"/>
      <c r="E114" s="60" t="n"/>
      <c r="F114" s="72" t="n"/>
      <c r="G114" s="72" t="n"/>
      <c r="H114" s="72" t="n"/>
      <c r="I114" s="72" t="n"/>
    </row>
    <row r="115">
      <c r="A115" s="70" t="n"/>
      <c r="B115" s="71" t="n"/>
      <c r="C115" s="72" t="n"/>
      <c r="D115" s="72" t="n"/>
      <c r="E115" s="60" t="n"/>
      <c r="F115" s="72" t="n"/>
      <c r="G115" s="72" t="n"/>
      <c r="H115" s="72" t="n"/>
      <c r="I115" s="72" t="n"/>
    </row>
    <row r="116">
      <c r="A116" s="70" t="n"/>
      <c r="B116" s="71" t="n"/>
      <c r="C116" s="72" t="n"/>
      <c r="D116" s="72" t="n"/>
      <c r="E116" s="60" t="n"/>
      <c r="F116" s="72" t="n"/>
      <c r="G116" s="72" t="n"/>
      <c r="H116" s="72" t="n"/>
      <c r="I116" s="72" t="n"/>
    </row>
    <row r="117">
      <c r="A117" s="70" t="n"/>
      <c r="B117" s="71" t="n"/>
      <c r="C117" s="72" t="n"/>
      <c r="D117" s="72" t="n"/>
      <c r="E117" s="60" t="n"/>
      <c r="F117" s="72" t="n"/>
      <c r="G117" s="72" t="n"/>
      <c r="H117" s="72" t="n"/>
      <c r="I117" s="72" t="n"/>
    </row>
    <row r="118">
      <c r="A118" s="70" t="n"/>
      <c r="B118" s="71" t="n"/>
      <c r="C118" s="72" t="n"/>
      <c r="D118" s="72" t="n"/>
      <c r="E118" s="60" t="n"/>
      <c r="F118" s="72" t="n"/>
      <c r="G118" s="72" t="n"/>
      <c r="H118" s="72" t="n"/>
      <c r="I118" s="72" t="n"/>
    </row>
    <row r="119">
      <c r="A119" s="70" t="n"/>
      <c r="B119" s="71" t="n"/>
      <c r="C119" s="72" t="n"/>
      <c r="D119" s="72" t="n"/>
      <c r="E119" s="60" t="n"/>
      <c r="F119" s="72" t="n"/>
      <c r="G119" s="72" t="n"/>
      <c r="H119" s="72" t="n"/>
      <c r="I119" s="72" t="n"/>
    </row>
    <row r="120">
      <c r="A120" s="70" t="n"/>
      <c r="B120" s="71" t="n"/>
      <c r="C120" s="72" t="n"/>
      <c r="D120" s="72" t="n"/>
      <c r="E120" s="60" t="n"/>
      <c r="F120" s="72" t="n"/>
      <c r="G120" s="72" t="n"/>
      <c r="H120" s="72" t="n"/>
      <c r="I120" s="72" t="n"/>
    </row>
    <row r="121">
      <c r="A121" s="70" t="n"/>
      <c r="B121" s="71" t="n"/>
      <c r="C121" s="72" t="n"/>
      <c r="D121" s="72" t="n"/>
      <c r="E121" s="60" t="n"/>
      <c r="F121" s="72" t="n"/>
      <c r="G121" s="72" t="n"/>
      <c r="H121" s="72" t="n"/>
      <c r="I121" s="72" t="n"/>
    </row>
    <row r="122">
      <c r="A122" s="70" t="n"/>
      <c r="B122" s="71" t="n"/>
      <c r="C122" s="72" t="n"/>
      <c r="D122" s="72" t="n"/>
      <c r="E122" s="60" t="n"/>
      <c r="F122" s="72" t="n"/>
      <c r="G122" s="72" t="n"/>
      <c r="H122" s="72" t="n"/>
      <c r="I122" s="72" t="n"/>
    </row>
    <row r="123">
      <c r="A123" s="70" t="n"/>
      <c r="B123" s="71" t="n"/>
      <c r="C123" s="72" t="n"/>
      <c r="D123" s="72" t="n"/>
      <c r="E123" s="60" t="n"/>
      <c r="F123" s="72" t="n"/>
      <c r="G123" s="72" t="n"/>
      <c r="H123" s="72" t="n"/>
      <c r="I123" s="72" t="n"/>
    </row>
    <row r="124">
      <c r="A124" s="70" t="n"/>
      <c r="B124" s="71" t="n"/>
      <c r="C124" s="72" t="n"/>
      <c r="D124" s="72" t="n"/>
      <c r="E124" s="60" t="n"/>
      <c r="F124" s="72" t="n"/>
      <c r="G124" s="72" t="n"/>
      <c r="H124" s="72" t="n"/>
      <c r="I124" s="72" t="n"/>
    </row>
    <row r="125">
      <c r="A125" s="70" t="n"/>
      <c r="B125" s="71" t="n"/>
      <c r="C125" s="72" t="n"/>
      <c r="D125" s="72" t="n"/>
      <c r="E125" s="60" t="n"/>
      <c r="F125" s="72" t="n"/>
      <c r="G125" s="72" t="n"/>
      <c r="H125" s="72" t="n"/>
      <c r="I125" s="72" t="n"/>
    </row>
    <row r="126">
      <c r="A126" s="70" t="n"/>
      <c r="B126" s="71" t="n"/>
      <c r="C126" s="72" t="n"/>
      <c r="D126" s="72" t="n"/>
      <c r="E126" s="60" t="n"/>
      <c r="F126" s="72" t="n"/>
      <c r="G126" s="72" t="n"/>
      <c r="H126" s="72" t="n"/>
      <c r="I126" s="72" t="n"/>
    </row>
    <row r="127">
      <c r="A127" s="70" t="n"/>
      <c r="B127" s="71" t="n"/>
      <c r="C127" s="72" t="n"/>
      <c r="D127" s="72" t="n"/>
      <c r="E127" s="60" t="n"/>
      <c r="F127" s="72" t="n"/>
      <c r="G127" s="72" t="n"/>
      <c r="H127" s="72" t="n"/>
      <c r="I127" s="72" t="n"/>
    </row>
    <row r="128">
      <c r="A128" s="70" t="n"/>
      <c r="B128" s="71" t="n"/>
      <c r="C128" s="72" t="n"/>
      <c r="D128" s="72" t="n"/>
      <c r="E128" s="60" t="n"/>
      <c r="F128" s="72" t="n"/>
      <c r="G128" s="72" t="n"/>
      <c r="H128" s="72" t="n"/>
      <c r="I128" s="72" t="n"/>
    </row>
    <row r="129">
      <c r="A129" s="70" t="n"/>
      <c r="B129" s="71" t="n"/>
      <c r="C129" s="72" t="n"/>
      <c r="D129" s="72" t="n"/>
      <c r="E129" s="60" t="n"/>
      <c r="F129" s="72" t="n"/>
      <c r="G129" s="72" t="n"/>
      <c r="H129" s="72" t="n"/>
      <c r="I129" s="72" t="n"/>
    </row>
    <row r="130">
      <c r="A130" s="70" t="n"/>
      <c r="B130" s="71" t="n"/>
      <c r="C130" s="72" t="n"/>
      <c r="D130" s="72" t="n"/>
      <c r="E130" s="60" t="n"/>
      <c r="F130" s="72" t="n"/>
      <c r="G130" s="72" t="n"/>
      <c r="H130" s="72" t="n"/>
      <c r="I130" s="72" t="n"/>
    </row>
    <row r="131">
      <c r="A131" s="70" t="n"/>
      <c r="B131" s="71" t="n"/>
      <c r="C131" s="72" t="n"/>
      <c r="D131" s="72" t="n"/>
      <c r="E131" s="60" t="n"/>
      <c r="F131" s="72" t="n"/>
      <c r="G131" s="72" t="n"/>
      <c r="H131" s="72" t="n"/>
      <c r="I131" s="72" t="n"/>
    </row>
    <row r="132">
      <c r="A132" s="70" t="n"/>
      <c r="B132" s="71" t="n"/>
      <c r="C132" s="72" t="n"/>
      <c r="D132" s="72" t="n"/>
      <c r="E132" s="60" t="n"/>
      <c r="F132" s="72" t="n"/>
      <c r="G132" s="72" t="n"/>
      <c r="H132" s="72" t="n"/>
      <c r="I132" s="72" t="n"/>
    </row>
    <row r="133">
      <c r="A133" s="70" t="n"/>
      <c r="B133" s="71" t="n"/>
      <c r="C133" s="72" t="n"/>
      <c r="D133" s="72" t="n"/>
      <c r="E133" s="60" t="n"/>
      <c r="F133" s="72" t="n"/>
      <c r="G133" s="72" t="n"/>
      <c r="H133" s="72" t="n"/>
      <c r="I133" s="72" t="n"/>
    </row>
    <row r="134">
      <c r="A134" s="70" t="n"/>
      <c r="B134" s="71" t="n"/>
      <c r="C134" s="72" t="n"/>
      <c r="D134" s="72" t="n"/>
      <c r="E134" s="60" t="n"/>
      <c r="F134" s="72" t="n"/>
      <c r="G134" s="72" t="n"/>
      <c r="H134" s="72" t="n"/>
      <c r="I134" s="72" t="n"/>
    </row>
    <row r="135">
      <c r="A135" s="70" t="n"/>
      <c r="B135" s="71" t="n"/>
      <c r="C135" s="72" t="n"/>
      <c r="D135" s="72" t="n"/>
      <c r="E135" s="60" t="n"/>
      <c r="F135" s="72" t="n"/>
      <c r="G135" s="72" t="n"/>
      <c r="H135" s="72" t="n"/>
      <c r="I135" s="72" t="n"/>
    </row>
    <row r="136">
      <c r="A136" s="70" t="n"/>
      <c r="B136" s="71" t="n"/>
      <c r="C136" s="72" t="n"/>
      <c r="D136" s="72" t="n"/>
      <c r="E136" s="60" t="n"/>
      <c r="F136" s="72" t="n"/>
      <c r="G136" s="72" t="n"/>
      <c r="H136" s="72" t="n"/>
      <c r="I136" s="72" t="n"/>
    </row>
    <row r="137">
      <c r="A137" s="70" t="n"/>
      <c r="B137" s="71" t="n"/>
      <c r="C137" s="72" t="n"/>
      <c r="D137" s="72" t="n"/>
      <c r="E137" s="60" t="n"/>
      <c r="F137" s="72" t="n"/>
      <c r="G137" s="72" t="n"/>
      <c r="H137" s="72" t="n"/>
      <c r="I137" s="72" t="n"/>
    </row>
    <row r="138">
      <c r="A138" s="70" t="n"/>
      <c r="B138" s="71" t="n"/>
      <c r="C138" s="72" t="n"/>
      <c r="D138" s="72" t="n"/>
      <c r="E138" s="60" t="n"/>
      <c r="F138" s="72" t="n"/>
      <c r="G138" s="72" t="n"/>
      <c r="H138" s="72" t="n"/>
      <c r="I138" s="72" t="n"/>
    </row>
    <row r="139">
      <c r="A139" s="70" t="n"/>
      <c r="B139" s="71" t="n"/>
      <c r="C139" s="72" t="n"/>
      <c r="D139" s="72" t="n"/>
      <c r="E139" s="60" t="n"/>
      <c r="F139" s="72" t="n"/>
      <c r="G139" s="72" t="n"/>
      <c r="H139" s="72" t="n"/>
      <c r="I139" s="72" t="n"/>
    </row>
    <row r="140">
      <c r="A140" s="70" t="n"/>
      <c r="B140" s="71" t="n"/>
      <c r="C140" s="72" t="n"/>
      <c r="D140" s="72" t="n"/>
      <c r="E140" s="60" t="n"/>
      <c r="F140" s="72" t="n"/>
      <c r="G140" s="72" t="n"/>
      <c r="H140" s="72" t="n"/>
      <c r="I140" s="72" t="n"/>
    </row>
    <row r="141">
      <c r="A141" s="70" t="n"/>
      <c r="B141" s="71" t="n"/>
      <c r="C141" s="72" t="n"/>
      <c r="D141" s="72" t="n"/>
      <c r="E141" s="60" t="n"/>
      <c r="F141" s="72" t="n"/>
      <c r="G141" s="72" t="n"/>
      <c r="H141" s="72" t="n"/>
      <c r="I141" s="72" t="n"/>
    </row>
    <row r="142">
      <c r="A142" s="70" t="n"/>
      <c r="B142" s="71" t="n"/>
      <c r="C142" s="72" t="n"/>
      <c r="D142" s="72" t="n"/>
      <c r="E142" s="60" t="n"/>
      <c r="F142" s="72" t="n"/>
      <c r="G142" s="72" t="n"/>
      <c r="H142" s="72" t="n"/>
      <c r="I142" s="72" t="n"/>
    </row>
    <row r="143">
      <c r="A143" s="70" t="n"/>
      <c r="B143" s="71" t="n"/>
      <c r="C143" s="72" t="n"/>
      <c r="D143" s="72" t="n"/>
      <c r="E143" s="60" t="n"/>
      <c r="F143" s="72" t="n"/>
      <c r="G143" s="72" t="n"/>
      <c r="H143" s="72" t="n"/>
      <c r="I143" s="72" t="n"/>
    </row>
    <row r="144">
      <c r="A144" s="70" t="n"/>
      <c r="B144" s="71" t="n"/>
      <c r="C144" s="72" t="n"/>
      <c r="D144" s="72" t="n"/>
      <c r="E144" s="60" t="n"/>
      <c r="F144" s="72" t="n"/>
      <c r="G144" s="72" t="n"/>
      <c r="H144" s="72" t="n"/>
      <c r="I144" s="72" t="n"/>
    </row>
    <row r="145">
      <c r="A145" s="70" t="n"/>
      <c r="B145" s="71" t="n"/>
      <c r="C145" s="72" t="n"/>
      <c r="D145" s="72" t="n"/>
      <c r="E145" s="60" t="n"/>
      <c r="F145" s="72" t="n"/>
      <c r="G145" s="72" t="n"/>
      <c r="H145" s="72" t="n"/>
      <c r="I145" s="72" t="n"/>
    </row>
    <row r="146">
      <c r="A146" s="70" t="n"/>
      <c r="B146" s="71" t="n"/>
      <c r="C146" s="72" t="n"/>
      <c r="D146" s="72" t="n"/>
      <c r="E146" s="60" t="n"/>
      <c r="F146" s="72" t="n"/>
      <c r="G146" s="72" t="n"/>
      <c r="H146" s="72" t="n"/>
      <c r="I146" s="72" t="n"/>
    </row>
    <row r="147">
      <c r="A147" s="70" t="n"/>
      <c r="B147" s="71" t="n"/>
      <c r="C147" s="72" t="n"/>
      <c r="D147" s="72" t="n"/>
      <c r="E147" s="60" t="n"/>
      <c r="F147" s="72" t="n"/>
      <c r="G147" s="72" t="n"/>
      <c r="H147" s="72" t="n"/>
      <c r="I147" s="72" t="n"/>
    </row>
    <row r="148">
      <c r="A148" s="70" t="n"/>
      <c r="B148" s="71" t="n"/>
      <c r="C148" s="72" t="n"/>
      <c r="D148" s="72" t="n"/>
      <c r="E148" s="60" t="n"/>
      <c r="F148" s="72" t="n"/>
      <c r="G148" s="72" t="n"/>
      <c r="H148" s="72" t="n"/>
      <c r="I148" s="72" t="n"/>
    </row>
    <row r="149">
      <c r="A149" s="70" t="n"/>
      <c r="B149" s="71" t="n"/>
      <c r="C149" s="72" t="n"/>
      <c r="D149" s="72" t="n"/>
      <c r="E149" s="60" t="n"/>
      <c r="F149" s="72" t="n"/>
      <c r="G149" s="72" t="n"/>
      <c r="H149" s="72" t="n"/>
      <c r="I149" s="72" t="n"/>
    </row>
    <row r="150">
      <c r="A150" s="70" t="n"/>
      <c r="B150" s="71" t="n"/>
      <c r="C150" s="72" t="n"/>
      <c r="D150" s="72" t="n"/>
      <c r="E150" s="60" t="n"/>
      <c r="F150" s="72" t="n"/>
      <c r="G150" s="72" t="n"/>
      <c r="H150" s="72" t="n"/>
      <c r="I150" s="72" t="n"/>
    </row>
    <row r="151">
      <c r="A151" s="70" t="n"/>
      <c r="B151" s="71" t="n"/>
      <c r="C151" s="72" t="n"/>
      <c r="D151" s="72" t="n"/>
      <c r="E151" s="60" t="n"/>
      <c r="F151" s="72" t="n"/>
      <c r="G151" s="72" t="n"/>
      <c r="H151" s="72" t="n"/>
      <c r="I151" s="72" t="n"/>
    </row>
    <row r="152">
      <c r="A152" s="70" t="n"/>
      <c r="B152" s="71" t="n"/>
      <c r="C152" s="72" t="n"/>
      <c r="D152" s="72" t="n"/>
      <c r="E152" s="60" t="n"/>
      <c r="F152" s="72" t="n"/>
      <c r="G152" s="72" t="n"/>
      <c r="H152" s="72" t="n"/>
      <c r="I152" s="72" t="n"/>
    </row>
    <row r="153">
      <c r="A153" s="70" t="n"/>
      <c r="B153" s="71" t="n"/>
      <c r="C153" s="72" t="n"/>
      <c r="D153" s="72" t="n"/>
      <c r="E153" s="60" t="n"/>
      <c r="F153" s="72" t="n"/>
      <c r="G153" s="72" t="n"/>
      <c r="H153" s="72" t="n"/>
      <c r="I153" s="72" t="n"/>
    </row>
    <row r="154">
      <c r="A154" s="70" t="n"/>
      <c r="B154" s="71" t="n"/>
      <c r="C154" s="72" t="n"/>
      <c r="D154" s="72" t="n"/>
      <c r="E154" s="60" t="n"/>
      <c r="F154" s="72" t="n"/>
      <c r="G154" s="72" t="n"/>
      <c r="H154" s="72" t="n"/>
      <c r="I154" s="72" t="n"/>
    </row>
    <row r="155">
      <c r="A155" s="70" t="n"/>
      <c r="B155" s="71" t="n"/>
      <c r="C155" s="72" t="n"/>
      <c r="D155" s="72" t="n"/>
      <c r="E155" s="60" t="n"/>
      <c r="F155" s="72" t="n"/>
      <c r="G155" s="72" t="n"/>
      <c r="H155" s="72" t="n"/>
      <c r="I155" s="72" t="n"/>
    </row>
    <row r="156">
      <c r="A156" s="70" t="n"/>
      <c r="B156" s="71" t="n"/>
      <c r="C156" s="72" t="n"/>
      <c r="D156" s="72" t="n"/>
      <c r="E156" s="60" t="n"/>
      <c r="F156" s="72" t="n"/>
      <c r="G156" s="72" t="n"/>
      <c r="H156" s="72" t="n"/>
      <c r="I156" s="72" t="n"/>
    </row>
    <row r="157">
      <c r="A157" s="70" t="n"/>
      <c r="B157" s="71" t="n"/>
      <c r="C157" s="72" t="n"/>
      <c r="D157" s="72" t="n"/>
      <c r="E157" s="60" t="n"/>
      <c r="F157" s="72" t="n"/>
      <c r="G157" s="72" t="n"/>
      <c r="H157" s="72" t="n"/>
      <c r="I157" s="72" t="n"/>
    </row>
    <row r="158">
      <c r="A158" s="70" t="n"/>
      <c r="B158" s="71" t="n"/>
      <c r="C158" s="72" t="n"/>
      <c r="D158" s="72" t="n"/>
      <c r="E158" s="60" t="n"/>
      <c r="F158" s="72" t="n"/>
      <c r="G158" s="72" t="n"/>
      <c r="H158" s="72" t="n"/>
      <c r="I158" s="72" t="n"/>
    </row>
    <row r="159">
      <c r="A159" s="70" t="n"/>
      <c r="B159" s="71" t="n"/>
      <c r="C159" s="72" t="n"/>
      <c r="D159" s="72" t="n"/>
      <c r="E159" s="60" t="n"/>
      <c r="F159" s="72" t="n"/>
      <c r="G159" s="72" t="n"/>
      <c r="H159" s="72" t="n"/>
      <c r="I159" s="72" t="n"/>
    </row>
    <row r="160">
      <c r="A160" s="70" t="n"/>
      <c r="B160" s="71" t="n"/>
      <c r="C160" s="72" t="n"/>
      <c r="D160" s="72" t="n"/>
      <c r="E160" s="60" t="n"/>
      <c r="F160" s="72" t="n"/>
      <c r="G160" s="72" t="n"/>
      <c r="H160" s="72" t="n"/>
      <c r="I160" s="72" t="n"/>
    </row>
    <row r="161">
      <c r="A161" s="70" t="n"/>
      <c r="B161" s="71" t="n"/>
      <c r="C161" s="72" t="n"/>
      <c r="D161" s="72" t="n"/>
      <c r="E161" s="60" t="n"/>
      <c r="F161" s="72" t="n"/>
      <c r="G161" s="72" t="n"/>
      <c r="H161" s="72" t="n"/>
      <c r="I161" s="72" t="n"/>
    </row>
    <row r="162">
      <c r="A162" s="70" t="n"/>
      <c r="B162" s="71" t="n"/>
      <c r="C162" s="72" t="n"/>
      <c r="D162" s="72" t="n"/>
      <c r="E162" s="60" t="n"/>
      <c r="F162" s="72" t="n"/>
      <c r="G162" s="72" t="n"/>
      <c r="H162" s="72" t="n"/>
      <c r="I162" s="72" t="n"/>
    </row>
    <row r="163">
      <c r="A163" s="70" t="n"/>
      <c r="B163" s="71" t="n"/>
      <c r="C163" s="72" t="n"/>
      <c r="D163" s="72" t="n"/>
      <c r="E163" s="60" t="n"/>
      <c r="F163" s="72" t="n"/>
      <c r="G163" s="72" t="n"/>
      <c r="H163" s="72" t="n"/>
      <c r="I163" s="72" t="n"/>
    </row>
    <row r="164">
      <c r="A164" s="70" t="n"/>
      <c r="B164" s="71" t="n"/>
      <c r="C164" s="72" t="n"/>
      <c r="D164" s="72" t="n"/>
      <c r="E164" s="60" t="n"/>
      <c r="F164" s="72" t="n"/>
      <c r="G164" s="72" t="n"/>
      <c r="H164" s="72" t="n"/>
      <c r="I164" s="72" t="n"/>
    </row>
    <row r="165">
      <c r="A165" s="70" t="n"/>
      <c r="B165" s="71" t="n"/>
      <c r="C165" s="72" t="n"/>
      <c r="D165" s="72" t="n"/>
      <c r="E165" s="60" t="n"/>
      <c r="F165" s="72" t="n"/>
      <c r="G165" s="72" t="n"/>
      <c r="H165" s="72" t="n"/>
      <c r="I165" s="72" t="n"/>
    </row>
    <row r="166">
      <c r="A166" s="70" t="n"/>
      <c r="B166" s="71" t="n"/>
      <c r="C166" s="72" t="n"/>
      <c r="D166" s="72" t="n"/>
      <c r="E166" s="60" t="n"/>
      <c r="F166" s="72" t="n"/>
      <c r="G166" s="72" t="n"/>
      <c r="H166" s="72" t="n"/>
      <c r="I166" s="72" t="n"/>
    </row>
    <row r="167">
      <c r="A167" s="70" t="n"/>
      <c r="B167" s="71" t="n"/>
      <c r="C167" s="72" t="n"/>
      <c r="D167" s="72" t="n"/>
      <c r="E167" s="60" t="n"/>
      <c r="F167" s="72" t="n"/>
      <c r="G167" s="72" t="n"/>
      <c r="H167" s="72" t="n"/>
      <c r="I167" s="72" t="n"/>
    </row>
    <row r="168">
      <c r="A168" s="70" t="n"/>
      <c r="B168" s="71" t="n"/>
      <c r="C168" s="72" t="n"/>
      <c r="D168" s="72" t="n"/>
      <c r="E168" s="60" t="n"/>
      <c r="F168" s="72" t="n"/>
      <c r="G168" s="72" t="n"/>
      <c r="H168" s="72" t="n"/>
      <c r="I168" s="72" t="n"/>
    </row>
    <row r="169">
      <c r="A169" s="70" t="n"/>
      <c r="B169" s="71" t="n"/>
      <c r="C169" s="72" t="n"/>
      <c r="D169" s="72" t="n"/>
      <c r="E169" s="60" t="n"/>
      <c r="F169" s="72" t="n"/>
      <c r="G169" s="72" t="n"/>
      <c r="H169" s="72" t="n"/>
      <c r="I169" s="72" t="n"/>
    </row>
    <row r="170">
      <c r="A170" s="70" t="n"/>
      <c r="B170" s="71" t="n"/>
      <c r="C170" s="72" t="n"/>
      <c r="D170" s="72" t="n"/>
      <c r="E170" s="60" t="n"/>
      <c r="F170" s="72" t="n"/>
      <c r="G170" s="72" t="n"/>
      <c r="H170" s="72" t="n"/>
      <c r="I170" s="72" t="n"/>
    </row>
    <row r="171">
      <c r="A171" s="70" t="n"/>
      <c r="B171" s="71" t="n"/>
      <c r="C171" s="72" t="n"/>
      <c r="D171" s="72" t="n"/>
      <c r="E171" s="60" t="n"/>
      <c r="F171" s="72" t="n"/>
      <c r="G171" s="72" t="n"/>
      <c r="H171" s="72" t="n"/>
      <c r="I171" s="72" t="n"/>
    </row>
    <row r="172">
      <c r="A172" s="70" t="n"/>
      <c r="B172" s="71" t="n"/>
      <c r="C172" s="72" t="n"/>
      <c r="D172" s="72" t="n"/>
      <c r="E172" s="60" t="n"/>
      <c r="F172" s="72" t="n"/>
      <c r="G172" s="72" t="n"/>
      <c r="H172" s="72" t="n"/>
      <c r="I172" s="72" t="n"/>
    </row>
    <row r="173">
      <c r="A173" s="70" t="n"/>
      <c r="B173" s="71" t="n"/>
      <c r="C173" s="72" t="n"/>
      <c r="D173" s="72" t="n"/>
      <c r="E173" s="60" t="n"/>
      <c r="F173" s="72" t="n"/>
      <c r="G173" s="72" t="n"/>
      <c r="H173" s="72" t="n"/>
      <c r="I173" s="72" t="n"/>
    </row>
    <row r="174">
      <c r="A174" s="70" t="n"/>
      <c r="B174" s="71" t="n"/>
      <c r="C174" s="72" t="n"/>
      <c r="D174" s="72" t="n"/>
      <c r="E174" s="60" t="n"/>
      <c r="F174" s="72" t="n"/>
      <c r="G174" s="72" t="n"/>
      <c r="H174" s="72" t="n"/>
      <c r="I174" s="72" t="n"/>
    </row>
    <row r="175">
      <c r="A175" s="70" t="n"/>
      <c r="B175" s="71" t="n"/>
      <c r="C175" s="72" t="n"/>
      <c r="D175" s="72" t="n"/>
      <c r="E175" s="60" t="n"/>
      <c r="F175" s="72" t="n"/>
      <c r="G175" s="72" t="n"/>
      <c r="H175" s="72" t="n"/>
      <c r="I175" s="72" t="n"/>
    </row>
    <row r="176">
      <c r="A176" s="70" t="n"/>
      <c r="B176" s="71" t="n"/>
      <c r="C176" s="72" t="n"/>
      <c r="D176" s="72" t="n"/>
      <c r="E176" s="60" t="n"/>
      <c r="F176" s="72" t="n"/>
      <c r="G176" s="72" t="n"/>
      <c r="H176" s="72" t="n"/>
      <c r="I176" s="72" t="n"/>
    </row>
    <row r="177">
      <c r="A177" s="70" t="n"/>
      <c r="B177" s="71" t="n"/>
      <c r="C177" s="72" t="n"/>
      <c r="D177" s="72" t="n"/>
      <c r="E177" s="60" t="n"/>
      <c r="F177" s="72" t="n"/>
      <c r="G177" s="72" t="n"/>
      <c r="H177" s="72" t="n"/>
      <c r="I177" s="72" t="n"/>
    </row>
    <row r="178">
      <c r="A178" s="70" t="n"/>
      <c r="B178" s="71" t="n"/>
      <c r="C178" s="72" t="n"/>
      <c r="D178" s="72" t="n"/>
      <c r="E178" s="60" t="n"/>
      <c r="F178" s="72" t="n"/>
      <c r="G178" s="72" t="n"/>
      <c r="H178" s="72" t="n"/>
      <c r="I178" s="72" t="n"/>
    </row>
    <row r="179">
      <c r="A179" s="70" t="n"/>
      <c r="B179" s="71" t="n"/>
      <c r="C179" s="72" t="n"/>
      <c r="D179" s="72" t="n"/>
      <c r="E179" s="60" t="n"/>
      <c r="F179" s="72" t="n"/>
      <c r="G179" s="72" t="n"/>
      <c r="H179" s="72" t="n"/>
      <c r="I179" s="72" t="n"/>
    </row>
    <row r="180">
      <c r="A180" s="70" t="n"/>
      <c r="B180" s="71" t="n"/>
      <c r="C180" s="72" t="n"/>
      <c r="D180" s="72" t="n"/>
      <c r="E180" s="60" t="n"/>
      <c r="F180" s="72" t="n"/>
      <c r="G180" s="72" t="n"/>
      <c r="H180" s="72" t="n"/>
      <c r="I180" s="72" t="n"/>
    </row>
    <row r="181">
      <c r="A181" s="70" t="n"/>
      <c r="B181" s="71" t="n"/>
      <c r="C181" s="72" t="n"/>
      <c r="D181" s="72" t="n"/>
      <c r="E181" s="60" t="n"/>
      <c r="F181" s="72" t="n"/>
      <c r="G181" s="72" t="n"/>
      <c r="H181" s="72" t="n"/>
      <c r="I181" s="72" t="n"/>
    </row>
    <row r="182">
      <c r="A182" s="70" t="n"/>
      <c r="B182" s="71" t="n"/>
      <c r="C182" s="72" t="n"/>
      <c r="D182" s="72" t="n"/>
      <c r="E182" s="60" t="n"/>
      <c r="F182" s="72" t="n"/>
      <c r="G182" s="72" t="n"/>
      <c r="H182" s="72" t="n"/>
      <c r="I182" s="72" t="n"/>
    </row>
    <row r="183">
      <c r="A183" s="70" t="n"/>
      <c r="B183" s="71" t="n"/>
      <c r="C183" s="72" t="n"/>
      <c r="D183" s="72" t="n"/>
      <c r="E183" s="60" t="n"/>
      <c r="F183" s="72" t="n"/>
      <c r="G183" s="72" t="n"/>
      <c r="H183" s="72" t="n"/>
      <c r="I183" s="72" t="n"/>
    </row>
    <row r="184">
      <c r="A184" s="70" t="n"/>
      <c r="B184" s="71" t="n"/>
      <c r="C184" s="72" t="n"/>
      <c r="D184" s="72" t="n"/>
      <c r="E184" s="60" t="n"/>
      <c r="F184" s="72" t="n"/>
      <c r="G184" s="72" t="n"/>
      <c r="H184" s="72" t="n"/>
      <c r="I184" s="72" t="n"/>
    </row>
    <row r="185">
      <c r="A185" s="70" t="n"/>
      <c r="B185" s="71" t="n"/>
      <c r="C185" s="72" t="n"/>
      <c r="D185" s="72" t="n"/>
      <c r="E185" s="60" t="n"/>
      <c r="F185" s="72" t="n"/>
      <c r="G185" s="72" t="n"/>
      <c r="H185" s="72" t="n"/>
      <c r="I185" s="72" t="n"/>
    </row>
    <row r="186">
      <c r="A186" s="70" t="n"/>
      <c r="B186" s="71" t="n"/>
      <c r="C186" s="72" t="n"/>
      <c r="D186" s="72" t="n"/>
      <c r="E186" s="60" t="n"/>
      <c r="F186" s="72" t="n"/>
      <c r="G186" s="72" t="n"/>
      <c r="H186" s="72" t="n"/>
      <c r="I186" s="72" t="n"/>
    </row>
    <row r="187">
      <c r="A187" s="70" t="n"/>
      <c r="B187" s="71" t="n"/>
      <c r="C187" s="72" t="n"/>
      <c r="D187" s="72" t="n"/>
      <c r="E187" s="60" t="n"/>
      <c r="F187" s="72" t="n"/>
      <c r="G187" s="72" t="n"/>
      <c r="H187" s="72" t="n"/>
      <c r="I187" s="72" t="n"/>
    </row>
    <row r="188">
      <c r="A188" s="70" t="n"/>
      <c r="B188" s="71" t="n"/>
      <c r="C188" s="72" t="n"/>
      <c r="D188" s="72" t="n"/>
      <c r="E188" s="60" t="n"/>
      <c r="F188" s="72" t="n"/>
      <c r="G188" s="72" t="n"/>
      <c r="H188" s="72" t="n"/>
      <c r="I188" s="72" t="n"/>
    </row>
    <row r="189">
      <c r="A189" s="70" t="n"/>
      <c r="B189" s="71" t="n"/>
      <c r="C189" s="72" t="n"/>
      <c r="D189" s="72" t="n"/>
      <c r="E189" s="60" t="n"/>
      <c r="F189" s="72" t="n"/>
      <c r="G189" s="72" t="n"/>
      <c r="H189" s="72" t="n"/>
      <c r="I189" s="72" t="n"/>
    </row>
    <row r="190">
      <c r="A190" s="70" t="n"/>
      <c r="B190" s="71" t="n"/>
      <c r="C190" s="72" t="n"/>
      <c r="D190" s="72" t="n"/>
      <c r="E190" s="60" t="n"/>
      <c r="F190" s="72" t="n"/>
      <c r="G190" s="72" t="n"/>
      <c r="H190" s="72" t="n"/>
      <c r="I190" s="72" t="n"/>
    </row>
    <row r="191">
      <c r="A191" s="70" t="n"/>
      <c r="B191" s="71" t="n"/>
      <c r="C191" s="72" t="n"/>
      <c r="D191" s="72" t="n"/>
      <c r="E191" s="60" t="n"/>
      <c r="F191" s="72" t="n"/>
      <c r="G191" s="72" t="n"/>
      <c r="H191" s="72" t="n"/>
      <c r="I191" s="72" t="n"/>
    </row>
    <row r="192">
      <c r="A192" s="70" t="n"/>
      <c r="B192" s="71" t="n"/>
      <c r="C192" s="72" t="n"/>
      <c r="D192" s="72" t="n"/>
      <c r="E192" s="60" t="n"/>
      <c r="F192" s="72" t="n"/>
      <c r="G192" s="72" t="n"/>
      <c r="H192" s="72" t="n"/>
      <c r="I192" s="72" t="n"/>
    </row>
    <row r="193">
      <c r="A193" s="70" t="n"/>
      <c r="B193" s="71" t="n"/>
      <c r="C193" s="72" t="n"/>
      <c r="D193" s="72" t="n"/>
      <c r="E193" s="60" t="n"/>
      <c r="F193" s="72" t="n"/>
      <c r="G193" s="72" t="n"/>
      <c r="H193" s="72" t="n"/>
      <c r="I193" s="72" t="n"/>
    </row>
    <row r="194">
      <c r="A194" s="70" t="n"/>
      <c r="B194" s="71" t="n"/>
      <c r="C194" s="72" t="n"/>
      <c r="D194" s="72" t="n"/>
      <c r="E194" s="60" t="n"/>
      <c r="F194" s="72" t="n"/>
      <c r="G194" s="72" t="n"/>
      <c r="H194" s="72" t="n"/>
      <c r="I194" s="72" t="n"/>
    </row>
    <row r="195">
      <c r="A195" s="70" t="n"/>
      <c r="B195" s="71" t="n"/>
      <c r="C195" s="72" t="n"/>
      <c r="D195" s="72" t="n"/>
      <c r="E195" s="60" t="n"/>
      <c r="F195" s="72" t="n"/>
      <c r="G195" s="72" t="n"/>
      <c r="H195" s="72" t="n"/>
      <c r="I195" s="72" t="n"/>
    </row>
    <row r="196">
      <c r="A196" s="70" t="n"/>
      <c r="B196" s="71" t="n"/>
      <c r="C196" s="72" t="n"/>
      <c r="D196" s="72" t="n"/>
      <c r="E196" s="60" t="n"/>
      <c r="F196" s="72" t="n"/>
      <c r="G196" s="72" t="n"/>
      <c r="H196" s="72" t="n"/>
      <c r="I196" s="72" t="n"/>
    </row>
    <row r="197">
      <c r="A197" s="70" t="n"/>
      <c r="B197" s="71" t="n"/>
      <c r="C197" s="72" t="n"/>
      <c r="D197" s="72" t="n"/>
      <c r="E197" s="60" t="n"/>
      <c r="F197" s="72" t="n"/>
      <c r="G197" s="72" t="n"/>
      <c r="H197" s="72" t="n"/>
      <c r="I197" s="72" t="n"/>
    </row>
    <row r="198">
      <c r="A198" s="70" t="n"/>
      <c r="B198" s="71" t="n"/>
      <c r="C198" s="72" t="n"/>
      <c r="D198" s="72" t="n"/>
      <c r="E198" s="60" t="n"/>
      <c r="F198" s="72" t="n"/>
      <c r="G198" s="72" t="n"/>
      <c r="H198" s="72" t="n"/>
      <c r="I198" s="72" t="n"/>
    </row>
    <row r="199">
      <c r="A199" s="70" t="n"/>
      <c r="B199" s="71" t="n"/>
      <c r="C199" s="72" t="n"/>
      <c r="D199" s="72" t="n"/>
      <c r="E199" s="60" t="n"/>
      <c r="F199" s="72" t="n"/>
      <c r="G199" s="72" t="n"/>
      <c r="H199" s="72" t="n"/>
      <c r="I199" s="72" t="n"/>
    </row>
    <row r="200">
      <c r="A200" s="70" t="n"/>
      <c r="B200" s="71" t="n"/>
      <c r="C200" s="72" t="n"/>
      <c r="D200" s="72" t="n"/>
      <c r="E200" s="60" t="n"/>
      <c r="F200" s="72" t="n"/>
      <c r="G200" s="72" t="n"/>
      <c r="H200" s="72" t="n"/>
      <c r="I200" s="72" t="n"/>
    </row>
    <row r="201">
      <c r="A201" s="70" t="n"/>
      <c r="B201" s="71" t="n"/>
      <c r="C201" s="72" t="n"/>
      <c r="D201" s="72" t="n"/>
      <c r="E201" s="60" t="n"/>
      <c r="F201" s="72" t="n"/>
      <c r="G201" s="72" t="n"/>
      <c r="H201" s="72" t="n"/>
      <c r="I201" s="72" t="n"/>
    </row>
    <row r="202">
      <c r="A202" s="70" t="n"/>
      <c r="B202" s="71" t="n"/>
      <c r="C202" s="72" t="n"/>
      <c r="D202" s="72" t="n"/>
      <c r="E202" s="60" t="n"/>
      <c r="F202" s="72" t="n"/>
      <c r="G202" s="72" t="n"/>
      <c r="H202" s="72" t="n"/>
      <c r="I202" s="72" t="n"/>
    </row>
    <row r="203">
      <c r="A203" s="70" t="n"/>
      <c r="B203" s="71" t="n"/>
      <c r="C203" s="72" t="n"/>
      <c r="D203" s="72" t="n"/>
      <c r="E203" s="60" t="n"/>
      <c r="F203" s="72" t="n"/>
      <c r="G203" s="72" t="n"/>
      <c r="H203" s="72" t="n"/>
      <c r="I203" s="72" t="n"/>
    </row>
    <row r="204">
      <c r="A204" s="70" t="n"/>
      <c r="B204" s="71" t="n"/>
      <c r="C204" s="72" t="n"/>
      <c r="D204" s="72" t="n"/>
      <c r="E204" s="60" t="n"/>
      <c r="F204" s="72" t="n"/>
      <c r="G204" s="72" t="n"/>
      <c r="H204" s="72" t="n"/>
      <c r="I204" s="72" t="n"/>
    </row>
    <row r="205">
      <c r="A205" s="70" t="n"/>
      <c r="B205" s="71" t="n"/>
      <c r="C205" s="72" t="n"/>
      <c r="D205" s="72" t="n"/>
      <c r="E205" s="60" t="n"/>
      <c r="F205" s="72" t="n"/>
      <c r="G205" s="72" t="n"/>
      <c r="H205" s="72" t="n"/>
      <c r="I205" s="72" t="n"/>
    </row>
    <row r="206">
      <c r="A206" s="70" t="n"/>
      <c r="B206" s="71" t="n"/>
      <c r="C206" s="72" t="n"/>
      <c r="D206" s="72" t="n"/>
      <c r="E206" s="60" t="n"/>
      <c r="F206" s="72" t="n"/>
      <c r="G206" s="72" t="n"/>
      <c r="H206" s="72" t="n"/>
      <c r="I206" s="72" t="n"/>
    </row>
    <row r="207">
      <c r="A207" s="70" t="n"/>
      <c r="B207" s="71" t="n"/>
      <c r="C207" s="72" t="n"/>
      <c r="D207" s="72" t="n"/>
      <c r="E207" s="60" t="n"/>
      <c r="F207" s="72" t="n"/>
      <c r="G207" s="72" t="n"/>
      <c r="H207" s="72" t="n"/>
      <c r="I207" s="72" t="n"/>
    </row>
    <row r="208">
      <c r="A208" s="70" t="n"/>
      <c r="B208" s="71" t="n"/>
      <c r="C208" s="72" t="n"/>
      <c r="D208" s="72" t="n"/>
      <c r="E208" s="60" t="n"/>
      <c r="F208" s="72" t="n"/>
      <c r="G208" s="72" t="n"/>
      <c r="H208" s="72" t="n"/>
      <c r="I208" s="72" t="n"/>
    </row>
    <row r="209">
      <c r="A209" s="70" t="n"/>
      <c r="B209" s="71" t="n"/>
      <c r="C209" s="72" t="n"/>
      <c r="D209" s="72" t="n"/>
      <c r="E209" s="60" t="n"/>
      <c r="F209" s="72" t="n"/>
      <c r="G209" s="72" t="n"/>
      <c r="H209" s="72" t="n"/>
      <c r="I209" s="72" t="n"/>
    </row>
  </sheetData>
  <mergeCells count="3">
    <mergeCell ref="A1:I1"/>
    <mergeCell ref="C7:I7"/>
    <mergeCell ref="A2:I2"/>
  </mergeCells>
  <conditionalFormatting sqref="B10:B209">
    <cfRule type="cellIs" priority="1" operator="equal" dxfId="10">
      <formula>"Sortie"</formula>
    </cfRule>
    <cfRule type="cellIs" priority="2" operator="equal" dxfId="11">
      <formula>"Entrée"</formula>
    </cfRule>
  </conditionalFormatting>
  <dataValidations count="3">
    <dataValidation sqref="B10:B209" showDropDown="0" showInputMessage="0" showErrorMessage="0" allowBlank="1" errorTitle="Valeur non prévue" error="Choisissez une valeur dans la liste." type="list">
      <formula1>"Entrée,Sortie"</formula1>
    </dataValidation>
    <dataValidation sqref="C10:C209" showDropDown="0" showInputMessage="0" showErrorMessage="0" allowBlank="1" errorTitle="Valeur non prévue" error="Choisissez une valeur dans la liste." type="list">
      <formula1>"Cotisation,Don,Matériel,Impression,Goûter,Transport,Récompenses,Autre"</formula1>
    </dataValidation>
    <dataValidation sqref="F10:F209" showDropDown="0" showInputMessage="0" showErrorMessage="0" allowBlank="1" errorTitle="Valeur non prévue" error="Choisissez une valeur dans la liste." type="list">
      <formula1>"Espèces,Virement,Mobile,Chèque"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3" min="1" max="1"/>
    <col width="30" customWidth="1" style="23" min="2" max="2"/>
    <col width="17" customWidth="1" style="23" min="3" max="3"/>
    <col width="6" customWidth="1" style="23" min="4" max="4"/>
    <col width="6" customWidth="1" style="23" min="5" max="5"/>
    <col width="6" customWidth="1" style="23" min="6" max="6"/>
    <col width="6" customWidth="1" style="23" min="7" max="7"/>
    <col width="6" customWidth="1" style="23" min="8" max="8"/>
    <col width="6" customWidth="1" style="23" min="9" max="9"/>
    <col width="6" customWidth="1" style="23" min="10" max="10"/>
    <col width="6" customWidth="1" style="23" min="11" max="11"/>
    <col width="6" customWidth="1" style="23" min="12" max="12"/>
    <col width="6" customWidth="1" style="23" min="13" max="13"/>
    <col width="6" customWidth="1" style="23" min="14" max="14"/>
    <col width="6" customWidth="1" style="23" min="15" max="15"/>
    <col width="6" customWidth="1" style="23" min="16" max="16"/>
    <col width="6" customWidth="1" style="23" min="17" max="17"/>
    <col width="6" customWidth="1" style="23" min="18" max="18"/>
    <col width="6" customWidth="1" style="23" min="19" max="19"/>
    <col width="6" customWidth="1" style="23" min="20" max="20"/>
    <col width="6" customWidth="1" style="23" min="21" max="21"/>
    <col width="6" customWidth="1" style="23" min="22" max="22"/>
    <col width="6" customWidth="1" style="23" min="23" max="23"/>
    <col width="6" customWidth="1" style="23" min="24" max="24"/>
    <col width="6" customWidth="1" style="23" min="25" max="25"/>
    <col width="11" customWidth="1" style="23" min="26" max="26"/>
    <col width="11" customWidth="1" style="23" min="27" max="27"/>
    <col width="9" customWidth="1" style="23" min="28" max="28"/>
  </cols>
  <sheetData>
    <row r="1" ht="26" customHeight="1" s="23">
      <c r="A1" s="52" t="inlineStr">
        <is>
          <t>FEUILLE DE PRÉSENCE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</row>
    <row r="2" ht="30" customHeight="1" s="23">
      <c r="A2" s="57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  <c r="Z2" s="57" t="n"/>
      <c r="AA2" s="57" t="n"/>
      <c r="AB2" s="57" t="n"/>
    </row>
    <row r="3" ht="32" customHeight="1" s="23">
      <c r="A3" s="74" t="inlineStr">
        <is>
          <t>N°</t>
        </is>
      </c>
      <c r="B3" s="74" t="inlineStr">
        <is>
          <t>NOM et Prénoms</t>
        </is>
      </c>
      <c r="C3" s="74" t="inlineStr">
        <is>
          <t>Classe</t>
        </is>
      </c>
      <c r="D3" s="74" t="inlineStr">
        <is>
          <t>S01</t>
        </is>
      </c>
      <c r="E3" s="74" t="inlineStr">
        <is>
          <t>S02</t>
        </is>
      </c>
      <c r="F3" s="74" t="inlineStr">
        <is>
          <t>S03</t>
        </is>
      </c>
      <c r="G3" s="74" t="inlineStr">
        <is>
          <t>S04</t>
        </is>
      </c>
      <c r="H3" s="74" t="inlineStr">
        <is>
          <t>S05</t>
        </is>
      </c>
      <c r="I3" s="74" t="inlineStr">
        <is>
          <t>S06</t>
        </is>
      </c>
      <c r="J3" s="74" t="inlineStr">
        <is>
          <t>S07</t>
        </is>
      </c>
      <c r="K3" s="74" t="inlineStr">
        <is>
          <t>S08</t>
        </is>
      </c>
      <c r="L3" s="74" t="inlineStr">
        <is>
          <t>S09</t>
        </is>
      </c>
      <c r="M3" s="74" t="inlineStr">
        <is>
          <t>S10</t>
        </is>
      </c>
      <c r="N3" s="74" t="inlineStr">
        <is>
          <t>S11</t>
        </is>
      </c>
      <c r="O3" s="74" t="inlineStr">
        <is>
          <t>S12</t>
        </is>
      </c>
      <c r="P3" s="74" t="inlineStr">
        <is>
          <t>S13</t>
        </is>
      </c>
      <c r="Q3" s="74" t="inlineStr">
        <is>
          <t>S14</t>
        </is>
      </c>
      <c r="R3" s="74" t="inlineStr">
        <is>
          <t>S15</t>
        </is>
      </c>
      <c r="S3" s="74" t="inlineStr">
        <is>
          <t>S16</t>
        </is>
      </c>
      <c r="T3" s="74" t="inlineStr">
        <is>
          <t>S17</t>
        </is>
      </c>
      <c r="U3" s="74" t="inlineStr">
        <is>
          <t>S18</t>
        </is>
      </c>
      <c r="V3" s="74" t="inlineStr">
        <is>
          <t>S19</t>
        </is>
      </c>
      <c r="W3" s="74" t="inlineStr">
        <is>
          <t>S20</t>
        </is>
      </c>
      <c r="X3" s="74" t="inlineStr">
        <is>
          <t>S21</t>
        </is>
      </c>
      <c r="Y3" s="74" t="inlineStr">
        <is>
          <t>S22</t>
        </is>
      </c>
      <c r="Z3" s="74" t="inlineStr">
        <is>
          <t>Présences</t>
        </is>
      </c>
      <c r="AA3" s="74" t="inlineStr">
        <is>
          <t>Absences</t>
        </is>
      </c>
      <c r="AB3" s="74" t="inlineStr">
        <is>
          <t>Taux</t>
        </is>
      </c>
    </row>
    <row r="4">
      <c r="A4" s="75" t="n">
        <v>1</v>
      </c>
      <c r="B4" s="76">
        <f>IF('Enfants'!A7="","",'Enfants'!A7)</f>
        <v/>
      </c>
      <c r="C4" s="76">
        <f>IF('Enfants'!C7="","",'Enfants'!C7)</f>
        <v/>
      </c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6">
        <f>IF('Enfants'!A7="","",COUNTIF(D4:Y4,"P")+COUNTIF(D4:Y4,"R"))</f>
        <v/>
      </c>
      <c r="AA4" s="76">
        <f>IF('Enfants'!A7="","",COUNTIF(D4:Y4,"A"))</f>
        <v/>
      </c>
      <c r="AB4" s="78">
        <f>IF(COUNTA(D4:Y4)=0,"",Z4/COUNTA(D4:Y4))</f>
        <v/>
      </c>
    </row>
    <row r="5">
      <c r="A5" s="75" t="n">
        <v>2</v>
      </c>
      <c r="B5" s="76">
        <f>IF('Enfants'!A8="","",'Enfants'!A8)</f>
        <v/>
      </c>
      <c r="C5" s="76">
        <f>IF('Enfants'!C8="","",'Enfants'!C8)</f>
        <v/>
      </c>
      <c r="D5" s="77" t="n"/>
      <c r="E5" s="77" t="n"/>
      <c r="F5" s="77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6">
        <f>IF('Enfants'!A8="","",COUNTIF(D5:Y5,"P")+COUNTIF(D5:Y5,"R"))</f>
        <v/>
      </c>
      <c r="AA5" s="76">
        <f>IF('Enfants'!A8="","",COUNTIF(D5:Y5,"A"))</f>
        <v/>
      </c>
      <c r="AB5" s="78">
        <f>IF(COUNTA(D5:Y5)=0,"",Z5/COUNTA(D5:Y5))</f>
        <v/>
      </c>
    </row>
    <row r="6">
      <c r="A6" s="75" t="n">
        <v>3</v>
      </c>
      <c r="B6" s="76">
        <f>IF('Enfants'!A9="","",'Enfants'!A9)</f>
        <v/>
      </c>
      <c r="C6" s="76">
        <f>IF('Enfants'!C9="","",'Enfants'!C9)</f>
        <v/>
      </c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6">
        <f>IF('Enfants'!A9="","",COUNTIF(D6:Y6,"P")+COUNTIF(D6:Y6,"R"))</f>
        <v/>
      </c>
      <c r="AA6" s="76">
        <f>IF('Enfants'!A9="","",COUNTIF(D6:Y6,"A"))</f>
        <v/>
      </c>
      <c r="AB6" s="78">
        <f>IF(COUNTA(D6:Y6)=0,"",Z6/COUNTA(D6:Y6))</f>
        <v/>
      </c>
    </row>
    <row r="7">
      <c r="A7" s="75" t="n">
        <v>4</v>
      </c>
      <c r="B7" s="76">
        <f>IF('Enfants'!A10="","",'Enfants'!A10)</f>
        <v/>
      </c>
      <c r="C7" s="76">
        <f>IF('Enfants'!C10="","",'Enfants'!C10)</f>
        <v/>
      </c>
      <c r="D7" s="77" t="n"/>
      <c r="E7" s="77" t="n"/>
      <c r="F7" s="77" t="n"/>
      <c r="G7" s="77" t="n"/>
      <c r="H7" s="77" t="n"/>
      <c r="I7" s="77" t="n"/>
      <c r="J7" s="77" t="n"/>
      <c r="K7" s="77" t="n"/>
      <c r="L7" s="77" t="n"/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6">
        <f>IF('Enfants'!A10="","",COUNTIF(D7:Y7,"P")+COUNTIF(D7:Y7,"R"))</f>
        <v/>
      </c>
      <c r="AA7" s="76">
        <f>IF('Enfants'!A10="","",COUNTIF(D7:Y7,"A"))</f>
        <v/>
      </c>
      <c r="AB7" s="78">
        <f>IF(COUNTA(D7:Y7)=0,"",Z7/COUNTA(D7:Y7))</f>
        <v/>
      </c>
    </row>
    <row r="8">
      <c r="A8" s="75" t="n">
        <v>5</v>
      </c>
      <c r="B8" s="76">
        <f>IF('Enfants'!A11="","",'Enfants'!A11)</f>
        <v/>
      </c>
      <c r="C8" s="76">
        <f>IF('Enfants'!C11="","",'Enfants'!C11)</f>
        <v/>
      </c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6">
        <f>IF('Enfants'!A11="","",COUNTIF(D8:Y8,"P")+COUNTIF(D8:Y8,"R"))</f>
        <v/>
      </c>
      <c r="AA8" s="76">
        <f>IF('Enfants'!A11="","",COUNTIF(D8:Y8,"A"))</f>
        <v/>
      </c>
      <c r="AB8" s="78">
        <f>IF(COUNTA(D8:Y8)=0,"",Z8/COUNTA(D8:Y8))</f>
        <v/>
      </c>
    </row>
    <row r="9">
      <c r="A9" s="75" t="n">
        <v>6</v>
      </c>
      <c r="B9" s="76">
        <f>IF('Enfants'!A12="","",'Enfants'!A12)</f>
        <v/>
      </c>
      <c r="C9" s="76">
        <f>IF('Enfants'!C12="","",'Enfants'!C12)</f>
        <v/>
      </c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6">
        <f>IF('Enfants'!A12="","",COUNTIF(D9:Y9,"P")+COUNTIF(D9:Y9,"R"))</f>
        <v/>
      </c>
      <c r="AA9" s="76">
        <f>IF('Enfants'!A12="","",COUNTIF(D9:Y9,"A"))</f>
        <v/>
      </c>
      <c r="AB9" s="78">
        <f>IF(COUNTA(D9:Y9)=0,"",Z9/COUNTA(D9:Y9))</f>
        <v/>
      </c>
    </row>
    <row r="10">
      <c r="A10" s="75" t="n">
        <v>7</v>
      </c>
      <c r="B10" s="76">
        <f>IF('Enfants'!A13="","",'Enfants'!A13)</f>
        <v/>
      </c>
      <c r="C10" s="76">
        <f>IF('Enfants'!C13="","",'Enfants'!C13)</f>
        <v/>
      </c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6">
        <f>IF('Enfants'!A13="","",COUNTIF(D10:Y10,"P")+COUNTIF(D10:Y10,"R"))</f>
        <v/>
      </c>
      <c r="AA10" s="76">
        <f>IF('Enfants'!A13="","",COUNTIF(D10:Y10,"A"))</f>
        <v/>
      </c>
      <c r="AB10" s="78">
        <f>IF(COUNTA(D10:Y10)=0,"",Z10/COUNTA(D10:Y10))</f>
        <v/>
      </c>
    </row>
    <row r="11">
      <c r="A11" s="75" t="n">
        <v>8</v>
      </c>
      <c r="B11" s="76">
        <f>IF('Enfants'!A14="","",'Enfants'!A14)</f>
        <v/>
      </c>
      <c r="C11" s="76">
        <f>IF('Enfants'!C14="","",'Enfants'!C14)</f>
        <v/>
      </c>
      <c r="D11" s="77" t="n"/>
      <c r="E11" s="77" t="n"/>
      <c r="F11" s="77" t="n"/>
      <c r="G11" s="77" t="n"/>
      <c r="H11" s="77" t="n"/>
      <c r="I11" s="77" t="n"/>
      <c r="J11" s="77" t="n"/>
      <c r="K11" s="77" t="n"/>
      <c r="L11" s="77" t="n"/>
      <c r="M11" s="77" t="n"/>
      <c r="N11" s="77" t="n"/>
      <c r="O11" s="77" t="n"/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6">
        <f>IF('Enfants'!A14="","",COUNTIF(D11:Y11,"P")+COUNTIF(D11:Y11,"R"))</f>
        <v/>
      </c>
      <c r="AA11" s="76">
        <f>IF('Enfants'!A14="","",COUNTIF(D11:Y11,"A"))</f>
        <v/>
      </c>
      <c r="AB11" s="78">
        <f>IF(COUNTA(D11:Y11)=0,"",Z11/COUNTA(D11:Y11))</f>
        <v/>
      </c>
    </row>
    <row r="12">
      <c r="A12" s="75" t="n">
        <v>9</v>
      </c>
      <c r="B12" s="76">
        <f>IF('Enfants'!A15="","",'Enfants'!A15)</f>
        <v/>
      </c>
      <c r="C12" s="76">
        <f>IF('Enfants'!C15="","",'Enfants'!C15)</f>
        <v/>
      </c>
      <c r="D12" s="77" t="n"/>
      <c r="E12" s="77" t="n"/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6">
        <f>IF('Enfants'!A15="","",COUNTIF(D12:Y12,"P")+COUNTIF(D12:Y12,"R"))</f>
        <v/>
      </c>
      <c r="AA12" s="76">
        <f>IF('Enfants'!A15="","",COUNTIF(D12:Y12,"A"))</f>
        <v/>
      </c>
      <c r="AB12" s="78">
        <f>IF(COUNTA(D12:Y12)=0,"",Z12/COUNTA(D12:Y12))</f>
        <v/>
      </c>
    </row>
    <row r="13">
      <c r="A13" s="75" t="n">
        <v>10</v>
      </c>
      <c r="B13" s="76">
        <f>IF('Enfants'!A16="","",'Enfants'!A16)</f>
        <v/>
      </c>
      <c r="C13" s="76">
        <f>IF('Enfants'!C16="","",'Enfants'!C16)</f>
        <v/>
      </c>
      <c r="D13" s="77" t="n"/>
      <c r="E13" s="77" t="n"/>
      <c r="F13" s="77" t="n"/>
      <c r="G13" s="77" t="n"/>
      <c r="H13" s="77" t="n"/>
      <c r="I13" s="77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77" t="n"/>
      <c r="X13" s="77" t="n"/>
      <c r="Y13" s="77" t="n"/>
      <c r="Z13" s="76">
        <f>IF('Enfants'!A16="","",COUNTIF(D13:Y13,"P")+COUNTIF(D13:Y13,"R"))</f>
        <v/>
      </c>
      <c r="AA13" s="76">
        <f>IF('Enfants'!A16="","",COUNTIF(D13:Y13,"A"))</f>
        <v/>
      </c>
      <c r="AB13" s="78">
        <f>IF(COUNTA(D13:Y13)=0,"",Z13/COUNTA(D13:Y13))</f>
        <v/>
      </c>
    </row>
    <row r="14">
      <c r="A14" s="75" t="n">
        <v>11</v>
      </c>
      <c r="B14" s="76">
        <f>IF('Enfants'!A17="","",'Enfants'!A17)</f>
        <v/>
      </c>
      <c r="C14" s="76">
        <f>IF('Enfants'!C17="","",'Enfants'!C17)</f>
        <v/>
      </c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6">
        <f>IF('Enfants'!A17="","",COUNTIF(D14:Y14,"P")+COUNTIF(D14:Y14,"R"))</f>
        <v/>
      </c>
      <c r="AA14" s="76">
        <f>IF('Enfants'!A17="","",COUNTIF(D14:Y14,"A"))</f>
        <v/>
      </c>
      <c r="AB14" s="78">
        <f>IF(COUNTA(D14:Y14)=0,"",Z14/COUNTA(D14:Y14))</f>
        <v/>
      </c>
    </row>
    <row r="15">
      <c r="A15" s="75" t="n">
        <v>12</v>
      </c>
      <c r="B15" s="76">
        <f>IF('Enfants'!A18="","",'Enfants'!A18)</f>
        <v/>
      </c>
      <c r="C15" s="76">
        <f>IF('Enfants'!C18="","",'Enfants'!C18)</f>
        <v/>
      </c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6">
        <f>IF('Enfants'!A18="","",COUNTIF(D15:Y15,"P")+COUNTIF(D15:Y15,"R"))</f>
        <v/>
      </c>
      <c r="AA15" s="76">
        <f>IF('Enfants'!A18="","",COUNTIF(D15:Y15,"A"))</f>
        <v/>
      </c>
      <c r="AB15" s="78">
        <f>IF(COUNTA(D15:Y15)=0,"",Z15/COUNTA(D15:Y15))</f>
        <v/>
      </c>
    </row>
    <row r="16">
      <c r="A16" s="75" t="n">
        <v>13</v>
      </c>
      <c r="B16" s="76">
        <f>IF('Enfants'!A19="","",'Enfants'!A19)</f>
        <v/>
      </c>
      <c r="C16" s="76">
        <f>IF('Enfants'!C19="","",'Enfants'!C19)</f>
        <v/>
      </c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6">
        <f>IF('Enfants'!A19="","",COUNTIF(D16:Y16,"P")+COUNTIF(D16:Y16,"R"))</f>
        <v/>
      </c>
      <c r="AA16" s="76">
        <f>IF('Enfants'!A19="","",COUNTIF(D16:Y16,"A"))</f>
        <v/>
      </c>
      <c r="AB16" s="78">
        <f>IF(COUNTA(D16:Y16)=0,"",Z16/COUNTA(D16:Y16))</f>
        <v/>
      </c>
    </row>
    <row r="17">
      <c r="A17" s="75" t="n">
        <v>14</v>
      </c>
      <c r="B17" s="76">
        <f>IF('Enfants'!A20="","",'Enfants'!A20)</f>
        <v/>
      </c>
      <c r="C17" s="76">
        <f>IF('Enfants'!C20="","",'Enfants'!C20)</f>
        <v/>
      </c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6">
        <f>IF('Enfants'!A20="","",COUNTIF(D17:Y17,"P")+COUNTIF(D17:Y17,"R"))</f>
        <v/>
      </c>
      <c r="AA17" s="76">
        <f>IF('Enfants'!A20="","",COUNTIF(D17:Y17,"A"))</f>
        <v/>
      </c>
      <c r="AB17" s="78">
        <f>IF(COUNTA(D17:Y17)=0,"",Z17/COUNTA(D17:Y17))</f>
        <v/>
      </c>
    </row>
    <row r="18">
      <c r="A18" s="75" t="n">
        <v>15</v>
      </c>
      <c r="B18" s="76">
        <f>IF('Enfants'!A21="","",'Enfants'!A21)</f>
        <v/>
      </c>
      <c r="C18" s="76">
        <f>IF('Enfants'!C21="","",'Enfants'!C21)</f>
        <v/>
      </c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6">
        <f>IF('Enfants'!A21="","",COUNTIF(D18:Y18,"P")+COUNTIF(D18:Y18,"R"))</f>
        <v/>
      </c>
      <c r="AA18" s="76">
        <f>IF('Enfants'!A21="","",COUNTIF(D18:Y18,"A"))</f>
        <v/>
      </c>
      <c r="AB18" s="78">
        <f>IF(COUNTA(D18:Y18)=0,"",Z18/COUNTA(D18:Y18))</f>
        <v/>
      </c>
    </row>
    <row r="19">
      <c r="A19" s="75" t="n">
        <v>16</v>
      </c>
      <c r="B19" s="76">
        <f>IF('Enfants'!A22="","",'Enfants'!A22)</f>
        <v/>
      </c>
      <c r="C19" s="76">
        <f>IF('Enfants'!C22="","",'Enfants'!C22)</f>
        <v/>
      </c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77" t="n"/>
      <c r="Z19" s="76">
        <f>IF('Enfants'!A22="","",COUNTIF(D19:Y19,"P")+COUNTIF(D19:Y19,"R"))</f>
        <v/>
      </c>
      <c r="AA19" s="76">
        <f>IF('Enfants'!A22="","",COUNTIF(D19:Y19,"A"))</f>
        <v/>
      </c>
      <c r="AB19" s="78">
        <f>IF(COUNTA(D19:Y19)=0,"",Z19/COUNTA(D19:Y19))</f>
        <v/>
      </c>
    </row>
    <row r="20">
      <c r="A20" s="75" t="n">
        <v>17</v>
      </c>
      <c r="B20" s="76">
        <f>IF('Enfants'!A23="","",'Enfants'!A23)</f>
        <v/>
      </c>
      <c r="C20" s="76">
        <f>IF('Enfants'!C23="","",'Enfants'!C23)</f>
        <v/>
      </c>
      <c r="D20" s="77" t="n"/>
      <c r="E20" s="77" t="n"/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6">
        <f>IF('Enfants'!A23="","",COUNTIF(D20:Y20,"P")+COUNTIF(D20:Y20,"R"))</f>
        <v/>
      </c>
      <c r="AA20" s="76">
        <f>IF('Enfants'!A23="","",COUNTIF(D20:Y20,"A"))</f>
        <v/>
      </c>
      <c r="AB20" s="78">
        <f>IF(COUNTA(D20:Y20)=0,"",Z20/COUNTA(D20:Y20))</f>
        <v/>
      </c>
    </row>
    <row r="21">
      <c r="A21" s="75" t="n">
        <v>18</v>
      </c>
      <c r="B21" s="76">
        <f>IF('Enfants'!A24="","",'Enfants'!A24)</f>
        <v/>
      </c>
      <c r="C21" s="76">
        <f>IF('Enfants'!C24="","",'Enfants'!C24)</f>
        <v/>
      </c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n"/>
      <c r="X21" s="77" t="n"/>
      <c r="Y21" s="77" t="n"/>
      <c r="Z21" s="76">
        <f>IF('Enfants'!A24="","",COUNTIF(D21:Y21,"P")+COUNTIF(D21:Y21,"R"))</f>
        <v/>
      </c>
      <c r="AA21" s="76">
        <f>IF('Enfants'!A24="","",COUNTIF(D21:Y21,"A"))</f>
        <v/>
      </c>
      <c r="AB21" s="78">
        <f>IF(COUNTA(D21:Y21)=0,"",Z21/COUNTA(D21:Y21))</f>
        <v/>
      </c>
    </row>
    <row r="22">
      <c r="A22" s="75" t="n">
        <v>19</v>
      </c>
      <c r="B22" s="76">
        <f>IF('Enfants'!A25="","",'Enfants'!A25)</f>
        <v/>
      </c>
      <c r="C22" s="76">
        <f>IF('Enfants'!C25="","",'Enfants'!C25)</f>
        <v/>
      </c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6">
        <f>IF('Enfants'!A25="","",COUNTIF(D22:Y22,"P")+COUNTIF(D22:Y22,"R"))</f>
        <v/>
      </c>
      <c r="AA22" s="76">
        <f>IF('Enfants'!A25="","",COUNTIF(D22:Y22,"A"))</f>
        <v/>
      </c>
      <c r="AB22" s="78">
        <f>IF(COUNTA(D22:Y22)=0,"",Z22/COUNTA(D22:Y22))</f>
        <v/>
      </c>
    </row>
    <row r="23">
      <c r="A23" s="75" t="n">
        <v>20</v>
      </c>
      <c r="B23" s="76">
        <f>IF('Enfants'!A26="","",'Enfants'!A26)</f>
        <v/>
      </c>
      <c r="C23" s="76">
        <f>IF('Enfants'!C26="","",'Enfants'!C26)</f>
        <v/>
      </c>
      <c r="D23" s="77" t="n"/>
      <c r="E23" s="77" t="n"/>
      <c r="F23" s="77" t="n"/>
      <c r="G23" s="77" t="n"/>
      <c r="H23" s="77" t="n"/>
      <c r="I23" s="77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n"/>
      <c r="Z23" s="76">
        <f>IF('Enfants'!A26="","",COUNTIF(D23:Y23,"P")+COUNTIF(D23:Y23,"R"))</f>
        <v/>
      </c>
      <c r="AA23" s="76">
        <f>IF('Enfants'!A26="","",COUNTIF(D23:Y23,"A"))</f>
        <v/>
      </c>
      <c r="AB23" s="78">
        <f>IF(COUNTA(D23:Y23)=0,"",Z23/COUNTA(D23:Y23))</f>
        <v/>
      </c>
    </row>
    <row r="24">
      <c r="A24" s="75" t="n">
        <v>21</v>
      </c>
      <c r="B24" s="76">
        <f>IF('Enfants'!A27="","",'Enfants'!A27)</f>
        <v/>
      </c>
      <c r="C24" s="76">
        <f>IF('Enfants'!C27="","",'Enfants'!C27)</f>
        <v/>
      </c>
      <c r="D24" s="77" t="n"/>
      <c r="E24" s="77" t="n"/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6">
        <f>IF('Enfants'!A27="","",COUNTIF(D24:Y24,"P")+COUNTIF(D24:Y24,"R"))</f>
        <v/>
      </c>
      <c r="AA24" s="76">
        <f>IF('Enfants'!A27="","",COUNTIF(D24:Y24,"A"))</f>
        <v/>
      </c>
      <c r="AB24" s="78">
        <f>IF(COUNTA(D24:Y24)=0,"",Z24/COUNTA(D24:Y24))</f>
        <v/>
      </c>
    </row>
    <row r="25">
      <c r="A25" s="75" t="n">
        <v>22</v>
      </c>
      <c r="B25" s="76">
        <f>IF('Enfants'!A28="","",'Enfants'!A28)</f>
        <v/>
      </c>
      <c r="C25" s="76">
        <f>IF('Enfants'!C28="","",'Enfants'!C28)</f>
        <v/>
      </c>
      <c r="D25" s="77" t="n"/>
      <c r="E25" s="77" t="n"/>
      <c r="F25" s="77" t="n"/>
      <c r="G25" s="77" t="n"/>
      <c r="H25" s="77" t="n"/>
      <c r="I25" s="77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n"/>
      <c r="Z25" s="76">
        <f>IF('Enfants'!A28="","",COUNTIF(D25:Y25,"P")+COUNTIF(D25:Y25,"R"))</f>
        <v/>
      </c>
      <c r="AA25" s="76">
        <f>IF('Enfants'!A28="","",COUNTIF(D25:Y25,"A"))</f>
        <v/>
      </c>
      <c r="AB25" s="78">
        <f>IF(COUNTA(D25:Y25)=0,"",Z25/COUNTA(D25:Y25))</f>
        <v/>
      </c>
    </row>
    <row r="26">
      <c r="A26" s="75" t="n">
        <v>23</v>
      </c>
      <c r="B26" s="76">
        <f>IF('Enfants'!A29="","",'Enfants'!A29)</f>
        <v/>
      </c>
      <c r="C26" s="76">
        <f>IF('Enfants'!C29="","",'Enfants'!C29)</f>
        <v/>
      </c>
      <c r="D26" s="77" t="n"/>
      <c r="E26" s="77" t="n"/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6">
        <f>IF('Enfants'!A29="","",COUNTIF(D26:Y26,"P")+COUNTIF(D26:Y26,"R"))</f>
        <v/>
      </c>
      <c r="AA26" s="76">
        <f>IF('Enfants'!A29="","",COUNTIF(D26:Y26,"A"))</f>
        <v/>
      </c>
      <c r="AB26" s="78">
        <f>IF(COUNTA(D26:Y26)=0,"",Z26/COUNTA(D26:Y26))</f>
        <v/>
      </c>
    </row>
    <row r="27">
      <c r="A27" s="75" t="n">
        <v>24</v>
      </c>
      <c r="B27" s="76">
        <f>IF('Enfants'!A30="","",'Enfants'!A30)</f>
        <v/>
      </c>
      <c r="C27" s="76">
        <f>IF('Enfants'!C30="","",'Enfants'!C30)</f>
        <v/>
      </c>
      <c r="D27" s="77" t="n"/>
      <c r="E27" s="77" t="n"/>
      <c r="F27" s="77" t="n"/>
      <c r="G27" s="77" t="n"/>
      <c r="H27" s="77" t="n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6">
        <f>IF('Enfants'!A30="","",COUNTIF(D27:Y27,"P")+COUNTIF(D27:Y27,"R"))</f>
        <v/>
      </c>
      <c r="AA27" s="76">
        <f>IF('Enfants'!A30="","",COUNTIF(D27:Y27,"A"))</f>
        <v/>
      </c>
      <c r="AB27" s="78">
        <f>IF(COUNTA(D27:Y27)=0,"",Z27/COUNTA(D27:Y27))</f>
        <v/>
      </c>
    </row>
    <row r="28">
      <c r="A28" s="75" t="n">
        <v>25</v>
      </c>
      <c r="B28" s="76">
        <f>IF('Enfants'!A31="","",'Enfants'!A31)</f>
        <v/>
      </c>
      <c r="C28" s="76">
        <f>IF('Enfants'!C31="","",'Enfants'!C31)</f>
        <v/>
      </c>
      <c r="D28" s="77" t="n"/>
      <c r="E28" s="77" t="n"/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6">
        <f>IF('Enfants'!A31="","",COUNTIF(D28:Y28,"P")+COUNTIF(D28:Y28,"R"))</f>
        <v/>
      </c>
      <c r="AA28" s="76">
        <f>IF('Enfants'!A31="","",COUNTIF(D28:Y28,"A"))</f>
        <v/>
      </c>
      <c r="AB28" s="78">
        <f>IF(COUNTA(D28:Y28)=0,"",Z28/COUNTA(D28:Y28))</f>
        <v/>
      </c>
    </row>
    <row r="29">
      <c r="A29" s="75" t="n">
        <v>26</v>
      </c>
      <c r="B29" s="76">
        <f>IF('Enfants'!A32="","",'Enfants'!A32)</f>
        <v/>
      </c>
      <c r="C29" s="76">
        <f>IF('Enfants'!C32="","",'Enfants'!C32)</f>
        <v/>
      </c>
      <c r="D29" s="77" t="n"/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6">
        <f>IF('Enfants'!A32="","",COUNTIF(D29:Y29,"P")+COUNTIF(D29:Y29,"R"))</f>
        <v/>
      </c>
      <c r="AA29" s="76">
        <f>IF('Enfants'!A32="","",COUNTIF(D29:Y29,"A"))</f>
        <v/>
      </c>
      <c r="AB29" s="78">
        <f>IF(COUNTA(D29:Y29)=0,"",Z29/COUNTA(D29:Y29))</f>
        <v/>
      </c>
    </row>
    <row r="30">
      <c r="A30" s="75" t="n">
        <v>27</v>
      </c>
      <c r="B30" s="76">
        <f>IF('Enfants'!A33="","",'Enfants'!A33)</f>
        <v/>
      </c>
      <c r="C30" s="76">
        <f>IF('Enfants'!C33="","",'Enfants'!C33)</f>
        <v/>
      </c>
      <c r="D30" s="77" t="n"/>
      <c r="E30" s="77" t="n"/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6">
        <f>IF('Enfants'!A33="","",COUNTIF(D30:Y30,"P")+COUNTIF(D30:Y30,"R"))</f>
        <v/>
      </c>
      <c r="AA30" s="76">
        <f>IF('Enfants'!A33="","",COUNTIF(D30:Y30,"A"))</f>
        <v/>
      </c>
      <c r="AB30" s="78">
        <f>IF(COUNTA(D30:Y30)=0,"",Z30/COUNTA(D30:Y30))</f>
        <v/>
      </c>
    </row>
    <row r="31">
      <c r="A31" s="75" t="n">
        <v>28</v>
      </c>
      <c r="B31" s="76">
        <f>IF('Enfants'!A34="","",'Enfants'!A34)</f>
        <v/>
      </c>
      <c r="C31" s="76">
        <f>IF('Enfants'!C34="","",'Enfants'!C34)</f>
        <v/>
      </c>
      <c r="D31" s="77" t="n"/>
      <c r="E31" s="77" t="n"/>
      <c r="F31" s="77" t="n"/>
      <c r="G31" s="77" t="n"/>
      <c r="H31" s="77" t="n"/>
      <c r="I31" s="77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6">
        <f>IF('Enfants'!A34="","",COUNTIF(D31:Y31,"P")+COUNTIF(D31:Y31,"R"))</f>
        <v/>
      </c>
      <c r="AA31" s="76">
        <f>IF('Enfants'!A34="","",COUNTIF(D31:Y31,"A"))</f>
        <v/>
      </c>
      <c r="AB31" s="78">
        <f>IF(COUNTA(D31:Y31)=0,"",Z31/COUNTA(D31:Y31))</f>
        <v/>
      </c>
    </row>
    <row r="32">
      <c r="A32" s="75" t="n">
        <v>29</v>
      </c>
      <c r="B32" s="76">
        <f>IF('Enfants'!A35="","",'Enfants'!A35)</f>
        <v/>
      </c>
      <c r="C32" s="76">
        <f>IF('Enfants'!C35="","",'Enfants'!C35)</f>
        <v/>
      </c>
      <c r="D32" s="77" t="n"/>
      <c r="E32" s="77" t="n"/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6">
        <f>IF('Enfants'!A35="","",COUNTIF(D32:Y32,"P")+COUNTIF(D32:Y32,"R"))</f>
        <v/>
      </c>
      <c r="AA32" s="76">
        <f>IF('Enfants'!A35="","",COUNTIF(D32:Y32,"A"))</f>
        <v/>
      </c>
      <c r="AB32" s="78">
        <f>IF(COUNTA(D32:Y32)=0,"",Z32/COUNTA(D32:Y32))</f>
        <v/>
      </c>
    </row>
    <row r="33">
      <c r="A33" s="75" t="n">
        <v>30</v>
      </c>
      <c r="B33" s="76">
        <f>IF('Enfants'!A36="","",'Enfants'!A36)</f>
        <v/>
      </c>
      <c r="C33" s="76">
        <f>IF('Enfants'!C36="","",'Enfants'!C36)</f>
        <v/>
      </c>
      <c r="D33" s="77" t="n"/>
      <c r="E33" s="77" t="n"/>
      <c r="F33" s="77" t="n"/>
      <c r="G33" s="77" t="n"/>
      <c r="H33" s="77" t="n"/>
      <c r="I33" s="77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6">
        <f>IF('Enfants'!A36="","",COUNTIF(D33:Y33,"P")+COUNTIF(D33:Y33,"R"))</f>
        <v/>
      </c>
      <c r="AA33" s="76">
        <f>IF('Enfants'!A36="","",COUNTIF(D33:Y33,"A"))</f>
        <v/>
      </c>
      <c r="AB33" s="78">
        <f>IF(COUNTA(D33:Y33)=0,"",Z33/COUNTA(D33:Y33))</f>
        <v/>
      </c>
    </row>
    <row r="34">
      <c r="A34" s="75" t="n">
        <v>31</v>
      </c>
      <c r="B34" s="76">
        <f>IF('Enfants'!A37="","",'Enfants'!A37)</f>
        <v/>
      </c>
      <c r="C34" s="76">
        <f>IF('Enfants'!C37="","",'Enfants'!C37)</f>
        <v/>
      </c>
      <c r="D34" s="77" t="n"/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6">
        <f>IF('Enfants'!A37="","",COUNTIF(D34:Y34,"P")+COUNTIF(D34:Y34,"R"))</f>
        <v/>
      </c>
      <c r="AA34" s="76">
        <f>IF('Enfants'!A37="","",COUNTIF(D34:Y34,"A"))</f>
        <v/>
      </c>
      <c r="AB34" s="78">
        <f>IF(COUNTA(D34:Y34)=0,"",Z34/COUNTA(D34:Y34))</f>
        <v/>
      </c>
    </row>
    <row r="35">
      <c r="A35" s="75" t="n">
        <v>32</v>
      </c>
      <c r="B35" s="76">
        <f>IF('Enfants'!A38="","",'Enfants'!A38)</f>
        <v/>
      </c>
      <c r="C35" s="76">
        <f>IF('Enfants'!C38="","",'Enfants'!C38)</f>
        <v/>
      </c>
      <c r="D35" s="77" t="n"/>
      <c r="E35" s="77" t="n"/>
      <c r="F35" s="77" t="n"/>
      <c r="G35" s="77" t="n"/>
      <c r="H35" s="77" t="n"/>
      <c r="I35" s="77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6">
        <f>IF('Enfants'!A38="","",COUNTIF(D35:Y35,"P")+COUNTIF(D35:Y35,"R"))</f>
        <v/>
      </c>
      <c r="AA35" s="76">
        <f>IF('Enfants'!A38="","",COUNTIF(D35:Y35,"A"))</f>
        <v/>
      </c>
      <c r="AB35" s="78">
        <f>IF(COUNTA(D35:Y35)=0,"",Z35/COUNTA(D35:Y35))</f>
        <v/>
      </c>
    </row>
    <row r="36">
      <c r="A36" s="75" t="n">
        <v>33</v>
      </c>
      <c r="B36" s="76">
        <f>IF('Enfants'!A39="","",'Enfants'!A39)</f>
        <v/>
      </c>
      <c r="C36" s="76">
        <f>IF('Enfants'!C39="","",'Enfants'!C39)</f>
        <v/>
      </c>
      <c r="D36" s="77" t="n"/>
      <c r="E36" s="77" t="n"/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6">
        <f>IF('Enfants'!A39="","",COUNTIF(D36:Y36,"P")+COUNTIF(D36:Y36,"R"))</f>
        <v/>
      </c>
      <c r="AA36" s="76">
        <f>IF('Enfants'!A39="","",COUNTIF(D36:Y36,"A"))</f>
        <v/>
      </c>
      <c r="AB36" s="78">
        <f>IF(COUNTA(D36:Y36)=0,"",Z36/COUNTA(D36:Y36))</f>
        <v/>
      </c>
    </row>
    <row r="37">
      <c r="A37" s="75" t="n">
        <v>34</v>
      </c>
      <c r="B37" s="76">
        <f>IF('Enfants'!A40="","",'Enfants'!A40)</f>
        <v/>
      </c>
      <c r="C37" s="76">
        <f>IF('Enfants'!C40="","",'Enfants'!C40)</f>
        <v/>
      </c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6">
        <f>IF('Enfants'!A40="","",COUNTIF(D37:Y37,"P")+COUNTIF(D37:Y37,"R"))</f>
        <v/>
      </c>
      <c r="AA37" s="76">
        <f>IF('Enfants'!A40="","",COUNTIF(D37:Y37,"A"))</f>
        <v/>
      </c>
      <c r="AB37" s="78">
        <f>IF(COUNTA(D37:Y37)=0,"",Z37/COUNTA(D37:Y37))</f>
        <v/>
      </c>
    </row>
    <row r="38">
      <c r="A38" s="75" t="n">
        <v>35</v>
      </c>
      <c r="B38" s="76">
        <f>IF('Enfants'!A41="","",'Enfants'!A41)</f>
        <v/>
      </c>
      <c r="C38" s="76">
        <f>IF('Enfants'!C41="","",'Enfants'!C41)</f>
        <v/>
      </c>
      <c r="D38" s="77" t="n"/>
      <c r="E38" s="77" t="n"/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6">
        <f>IF('Enfants'!A41="","",COUNTIF(D38:Y38,"P")+COUNTIF(D38:Y38,"R"))</f>
        <v/>
      </c>
      <c r="AA38" s="76">
        <f>IF('Enfants'!A41="","",COUNTIF(D38:Y38,"A"))</f>
        <v/>
      </c>
      <c r="AB38" s="78">
        <f>IF(COUNTA(D38:Y38)=0,"",Z38/COUNTA(D38:Y38))</f>
        <v/>
      </c>
    </row>
    <row r="39">
      <c r="A39" s="75" t="n">
        <v>36</v>
      </c>
      <c r="B39" s="76">
        <f>IF('Enfants'!A42="","",'Enfants'!A42)</f>
        <v/>
      </c>
      <c r="C39" s="76">
        <f>IF('Enfants'!C42="","",'Enfants'!C42)</f>
        <v/>
      </c>
      <c r="D39" s="77" t="n"/>
      <c r="E39" s="77" t="n"/>
      <c r="F39" s="77" t="n"/>
      <c r="G39" s="77" t="n"/>
      <c r="H39" s="77" t="n"/>
      <c r="I39" s="77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6">
        <f>IF('Enfants'!A42="","",COUNTIF(D39:Y39,"P")+COUNTIF(D39:Y39,"R"))</f>
        <v/>
      </c>
      <c r="AA39" s="76">
        <f>IF('Enfants'!A42="","",COUNTIF(D39:Y39,"A"))</f>
        <v/>
      </c>
      <c r="AB39" s="78">
        <f>IF(COUNTA(D39:Y39)=0,"",Z39/COUNTA(D39:Y39))</f>
        <v/>
      </c>
    </row>
    <row r="40">
      <c r="A40" s="75" t="n">
        <v>37</v>
      </c>
      <c r="B40" s="76">
        <f>IF('Enfants'!A43="","",'Enfants'!A43)</f>
        <v/>
      </c>
      <c r="C40" s="76">
        <f>IF('Enfants'!C43="","",'Enfants'!C43)</f>
        <v/>
      </c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6">
        <f>IF('Enfants'!A43="","",COUNTIF(D40:Y40,"P")+COUNTIF(D40:Y40,"R"))</f>
        <v/>
      </c>
      <c r="AA40" s="76">
        <f>IF('Enfants'!A43="","",COUNTIF(D40:Y40,"A"))</f>
        <v/>
      </c>
      <c r="AB40" s="78">
        <f>IF(COUNTA(D40:Y40)=0,"",Z40/COUNTA(D40:Y40))</f>
        <v/>
      </c>
    </row>
    <row r="41">
      <c r="A41" s="75" t="n">
        <v>38</v>
      </c>
      <c r="B41" s="76">
        <f>IF('Enfants'!A44="","",'Enfants'!A44)</f>
        <v/>
      </c>
      <c r="C41" s="76">
        <f>IF('Enfants'!C44="","",'Enfants'!C44)</f>
        <v/>
      </c>
      <c r="D41" s="77" t="n"/>
      <c r="E41" s="77" t="n"/>
      <c r="F41" s="77" t="n"/>
      <c r="G41" s="77" t="n"/>
      <c r="H41" s="77" t="n"/>
      <c r="I41" s="77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6">
        <f>IF('Enfants'!A44="","",COUNTIF(D41:Y41,"P")+COUNTIF(D41:Y41,"R"))</f>
        <v/>
      </c>
      <c r="AA41" s="76">
        <f>IF('Enfants'!A44="","",COUNTIF(D41:Y41,"A"))</f>
        <v/>
      </c>
      <c r="AB41" s="78">
        <f>IF(COUNTA(D41:Y41)=0,"",Z41/COUNTA(D41:Y41))</f>
        <v/>
      </c>
    </row>
    <row r="42">
      <c r="A42" s="75" t="n">
        <v>39</v>
      </c>
      <c r="B42" s="76">
        <f>IF('Enfants'!A45="","",'Enfants'!A45)</f>
        <v/>
      </c>
      <c r="C42" s="76">
        <f>IF('Enfants'!C45="","",'Enfants'!C45)</f>
        <v/>
      </c>
      <c r="D42" s="77" t="n"/>
      <c r="E42" s="77" t="n"/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6">
        <f>IF('Enfants'!A45="","",COUNTIF(D42:Y42,"P")+COUNTIF(D42:Y42,"R"))</f>
        <v/>
      </c>
      <c r="AA42" s="76">
        <f>IF('Enfants'!A45="","",COUNTIF(D42:Y42,"A"))</f>
        <v/>
      </c>
      <c r="AB42" s="78">
        <f>IF(COUNTA(D42:Y42)=0,"",Z42/COUNTA(D42:Y42))</f>
        <v/>
      </c>
    </row>
    <row r="43">
      <c r="A43" s="75" t="n">
        <v>40</v>
      </c>
      <c r="B43" s="76">
        <f>IF('Enfants'!A46="","",'Enfants'!A46)</f>
        <v/>
      </c>
      <c r="C43" s="76">
        <f>IF('Enfants'!C46="","",'Enfants'!C46)</f>
        <v/>
      </c>
      <c r="D43" s="77" t="n"/>
      <c r="E43" s="77" t="n"/>
      <c r="F43" s="77" t="n"/>
      <c r="G43" s="77" t="n"/>
      <c r="H43" s="77" t="n"/>
      <c r="I43" s="77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6">
        <f>IF('Enfants'!A46="","",COUNTIF(D43:Y43,"P")+COUNTIF(D43:Y43,"R"))</f>
        <v/>
      </c>
      <c r="AA43" s="76">
        <f>IF('Enfants'!A46="","",COUNTIF(D43:Y43,"A"))</f>
        <v/>
      </c>
      <c r="AB43" s="78">
        <f>IF(COUNTA(D43:Y43)=0,"",Z43/COUNTA(D43:Y43))</f>
        <v/>
      </c>
    </row>
  </sheetData>
  <mergeCells count="2">
    <mergeCell ref="A2:AB2"/>
    <mergeCell ref="A1:AB1"/>
  </mergeCells>
  <conditionalFormatting sqref="AB4:AB43">
    <cfRule type="cellIs" priority="1" operator="lessThan" dxfId="5">
      <formula>0.85</formula>
    </cfRule>
  </conditionalFormatting>
  <dataValidations count="1">
    <dataValidation sqref="D4:Y43" showDropDown="0" showInputMessage="0" showErrorMessage="0" allowBlank="1" errorTitle="Valeur non prevue" error="Choisissez une valeur dans la liste." type="list">
      <formula1>"P,R,E,A"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3" min="1" max="1"/>
    <col width="30" customWidth="1" style="23" min="2" max="2"/>
    <col width="17" customWidth="1" style="23" min="3" max="3"/>
    <col width="11" customWidth="1" style="23" min="4" max="4"/>
    <col width="10" customWidth="1" style="23" min="5" max="5"/>
    <col width="13" customWidth="1" style="23" min="6" max="6"/>
    <col width="10" customWidth="1" style="23" min="7" max="7"/>
    <col width="12" customWidth="1" style="23" min="8" max="8"/>
    <col width="19" customWidth="1" style="23" min="9" max="9"/>
    <col width="16" customWidth="1" style="23" min="10" max="10"/>
    <col width="14" customWidth="1" style="23" min="11" max="11"/>
    <col width="42" customWidth="1" style="23" min="12" max="12"/>
    <col width="14" customWidth="1" style="23" min="13" max="13"/>
    <col width="14" customWidth="1" style="23" min="14" max="14"/>
  </cols>
  <sheetData>
    <row r="1" ht="26" customHeight="1" s="23">
      <c r="A1" s="52" t="inlineStr">
        <is>
          <t>TEST DE DÉCOLLAGE — DIAGNOSTIC (SÉANCE 1)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</row>
    <row r="2" ht="30" customHeight="1" s="23">
      <c r="A2" s="57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</row>
    <row r="3" ht="32" customHeight="1" s="23">
      <c r="A3" s="74" t="inlineStr">
        <is>
          <t>N°</t>
        </is>
      </c>
      <c r="B3" s="74" t="inlineStr">
        <is>
          <t>NOM et Prénoms</t>
        </is>
      </c>
      <c r="C3" s="74" t="inlineStr">
        <is>
          <t>Classe</t>
        </is>
      </c>
      <c r="D3" s="74" t="inlineStr">
        <is>
          <t>Pilotage /6</t>
        </is>
      </c>
      <c r="E3" s="74" t="inlineStr">
        <is>
          <t>Logique /4</t>
        </is>
      </c>
      <c r="F3" s="74" t="inlineStr">
        <is>
          <t>A déjà codé ?</t>
        </is>
      </c>
      <c r="G3" s="74" t="inlineStr">
        <is>
          <t>Anglais</t>
        </is>
      </c>
      <c r="H3" s="74" t="inlineStr">
        <is>
          <t>Frappe clavier</t>
        </is>
      </c>
      <c r="I3" s="74" t="inlineStr">
        <is>
          <t>Face à la difficulté</t>
        </is>
      </c>
      <c r="J3" s="74" t="inlineStr">
        <is>
          <t>PROFIL</t>
        </is>
      </c>
      <c r="K3" s="74" t="inlineStr">
        <is>
          <t>Piste conseillée</t>
        </is>
      </c>
      <c r="L3" s="74" t="inlineStr">
        <is>
          <t>Remarques (à écrire tout de suite)</t>
        </is>
      </c>
      <c r="M3" s="74" t="inlineStr">
        <is>
          <t>Réévaluation S5</t>
        </is>
      </c>
      <c r="N3" s="74" t="inlineStr">
        <is>
          <t>Réévaluation S12</t>
        </is>
      </c>
    </row>
    <row r="4">
      <c r="A4" s="75" t="n">
        <v>1</v>
      </c>
      <c r="B4" s="76">
        <f>IF('Enfants'!A7="","",'Enfants'!A7)</f>
        <v/>
      </c>
      <c r="C4" s="76">
        <f>IF('Enfants'!C7="","",'Enfants'!C7)</f>
        <v/>
      </c>
      <c r="D4" s="79" t="n"/>
      <c r="E4" s="79" t="n"/>
      <c r="F4" s="79" t="n"/>
      <c r="G4" s="79" t="n"/>
      <c r="H4" s="79" t="n"/>
      <c r="I4" s="79" t="n"/>
      <c r="J4" s="79" t="n"/>
      <c r="K4" s="80">
        <f>IF(J4="","",IF(LEFT(J4,2)="P0","Bleue",IF(LEFT(J4,2)="P3","Noire","Rouge")))</f>
        <v/>
      </c>
      <c r="L4" s="79" t="n"/>
      <c r="M4" s="79" t="n"/>
      <c r="N4" s="79" t="n"/>
    </row>
    <row r="5">
      <c r="A5" s="75" t="n">
        <v>2</v>
      </c>
      <c r="B5" s="76">
        <f>IF('Enfants'!A8="","",'Enfants'!A8)</f>
        <v/>
      </c>
      <c r="C5" s="76">
        <f>IF('Enfants'!C8="","",'Enfants'!C8)</f>
        <v/>
      </c>
      <c r="D5" s="79" t="n"/>
      <c r="E5" s="79" t="n"/>
      <c r="F5" s="79" t="n"/>
      <c r="G5" s="79" t="n"/>
      <c r="H5" s="79" t="n"/>
      <c r="I5" s="79" t="n"/>
      <c r="J5" s="79" t="n"/>
      <c r="K5" s="80">
        <f>IF(J5="","",IF(LEFT(J5,2)="P0","Bleue",IF(LEFT(J5,2)="P3","Noire","Rouge")))</f>
        <v/>
      </c>
      <c r="L5" s="79" t="n"/>
      <c r="M5" s="79" t="n"/>
      <c r="N5" s="79" t="n"/>
    </row>
    <row r="6">
      <c r="A6" s="75" t="n">
        <v>3</v>
      </c>
      <c r="B6" s="76">
        <f>IF('Enfants'!A9="","",'Enfants'!A9)</f>
        <v/>
      </c>
      <c r="C6" s="76">
        <f>IF('Enfants'!C9="","",'Enfants'!C9)</f>
        <v/>
      </c>
      <c r="D6" s="79" t="n"/>
      <c r="E6" s="79" t="n"/>
      <c r="F6" s="79" t="n"/>
      <c r="G6" s="79" t="n"/>
      <c r="H6" s="79" t="n"/>
      <c r="I6" s="79" t="n"/>
      <c r="J6" s="79" t="n"/>
      <c r="K6" s="80">
        <f>IF(J6="","",IF(LEFT(J6,2)="P0","Bleue",IF(LEFT(J6,2)="P3","Noire","Rouge")))</f>
        <v/>
      </c>
      <c r="L6" s="79" t="n"/>
      <c r="M6" s="79" t="n"/>
      <c r="N6" s="79" t="n"/>
    </row>
    <row r="7">
      <c r="A7" s="75" t="n">
        <v>4</v>
      </c>
      <c r="B7" s="76">
        <f>IF('Enfants'!A10="","",'Enfants'!A10)</f>
        <v/>
      </c>
      <c r="C7" s="76">
        <f>IF('Enfants'!C10="","",'Enfants'!C10)</f>
        <v/>
      </c>
      <c r="D7" s="79" t="n"/>
      <c r="E7" s="79" t="n"/>
      <c r="F7" s="79" t="n"/>
      <c r="G7" s="79" t="n"/>
      <c r="H7" s="79" t="n"/>
      <c r="I7" s="79" t="n"/>
      <c r="J7" s="79" t="n"/>
      <c r="K7" s="80">
        <f>IF(J7="","",IF(LEFT(J7,2)="P0","Bleue",IF(LEFT(J7,2)="P3","Noire","Rouge")))</f>
        <v/>
      </c>
      <c r="L7" s="79" t="n"/>
      <c r="M7" s="79" t="n"/>
      <c r="N7" s="79" t="n"/>
    </row>
    <row r="8">
      <c r="A8" s="75" t="n">
        <v>5</v>
      </c>
      <c r="B8" s="76">
        <f>IF('Enfants'!A11="","",'Enfants'!A11)</f>
        <v/>
      </c>
      <c r="C8" s="76">
        <f>IF('Enfants'!C11="","",'Enfants'!C11)</f>
        <v/>
      </c>
      <c r="D8" s="79" t="n"/>
      <c r="E8" s="79" t="n"/>
      <c r="F8" s="79" t="n"/>
      <c r="G8" s="79" t="n"/>
      <c r="H8" s="79" t="n"/>
      <c r="I8" s="79" t="n"/>
      <c r="J8" s="79" t="n"/>
      <c r="K8" s="80">
        <f>IF(J8="","",IF(LEFT(J8,2)="P0","Bleue",IF(LEFT(J8,2)="P3","Noire","Rouge")))</f>
        <v/>
      </c>
      <c r="L8" s="79" t="n"/>
      <c r="M8" s="79" t="n"/>
      <c r="N8" s="79" t="n"/>
    </row>
    <row r="9">
      <c r="A9" s="75" t="n">
        <v>6</v>
      </c>
      <c r="B9" s="76">
        <f>IF('Enfants'!A12="","",'Enfants'!A12)</f>
        <v/>
      </c>
      <c r="C9" s="76">
        <f>IF('Enfants'!C12="","",'Enfants'!C12)</f>
        <v/>
      </c>
      <c r="D9" s="79" t="n"/>
      <c r="E9" s="79" t="n"/>
      <c r="F9" s="79" t="n"/>
      <c r="G9" s="79" t="n"/>
      <c r="H9" s="79" t="n"/>
      <c r="I9" s="79" t="n"/>
      <c r="J9" s="79" t="n"/>
      <c r="K9" s="80">
        <f>IF(J9="","",IF(LEFT(J9,2)="P0","Bleue",IF(LEFT(J9,2)="P3","Noire","Rouge")))</f>
        <v/>
      </c>
      <c r="L9" s="79" t="n"/>
      <c r="M9" s="79" t="n"/>
      <c r="N9" s="79" t="n"/>
    </row>
    <row r="10">
      <c r="A10" s="75" t="n">
        <v>7</v>
      </c>
      <c r="B10" s="76">
        <f>IF('Enfants'!A13="","",'Enfants'!A13)</f>
        <v/>
      </c>
      <c r="C10" s="76">
        <f>IF('Enfants'!C13="","",'Enfants'!C13)</f>
        <v/>
      </c>
      <c r="D10" s="79" t="n"/>
      <c r="E10" s="79" t="n"/>
      <c r="F10" s="79" t="n"/>
      <c r="G10" s="79" t="n"/>
      <c r="H10" s="79" t="n"/>
      <c r="I10" s="79" t="n"/>
      <c r="J10" s="79" t="n"/>
      <c r="K10" s="80">
        <f>IF(J10="","",IF(LEFT(J10,2)="P0","Bleue",IF(LEFT(J10,2)="P3","Noire","Rouge")))</f>
        <v/>
      </c>
      <c r="L10" s="79" t="n"/>
      <c r="M10" s="79" t="n"/>
      <c r="N10" s="79" t="n"/>
    </row>
    <row r="11">
      <c r="A11" s="75" t="n">
        <v>8</v>
      </c>
      <c r="B11" s="76">
        <f>IF('Enfants'!A14="","",'Enfants'!A14)</f>
        <v/>
      </c>
      <c r="C11" s="76">
        <f>IF('Enfants'!C14="","",'Enfants'!C14)</f>
        <v/>
      </c>
      <c r="D11" s="79" t="n"/>
      <c r="E11" s="79" t="n"/>
      <c r="F11" s="79" t="n"/>
      <c r="G11" s="79" t="n"/>
      <c r="H11" s="79" t="n"/>
      <c r="I11" s="79" t="n"/>
      <c r="J11" s="79" t="n"/>
      <c r="K11" s="80">
        <f>IF(J11="","",IF(LEFT(J11,2)="P0","Bleue",IF(LEFT(J11,2)="P3","Noire","Rouge")))</f>
        <v/>
      </c>
      <c r="L11" s="79" t="n"/>
      <c r="M11" s="79" t="n"/>
      <c r="N11" s="79" t="n"/>
    </row>
    <row r="12">
      <c r="A12" s="75" t="n">
        <v>9</v>
      </c>
      <c r="B12" s="76">
        <f>IF('Enfants'!A15="","",'Enfants'!A15)</f>
        <v/>
      </c>
      <c r="C12" s="76">
        <f>IF('Enfants'!C15="","",'Enfants'!C15)</f>
        <v/>
      </c>
      <c r="D12" s="79" t="n"/>
      <c r="E12" s="79" t="n"/>
      <c r="F12" s="79" t="n"/>
      <c r="G12" s="79" t="n"/>
      <c r="H12" s="79" t="n"/>
      <c r="I12" s="79" t="n"/>
      <c r="J12" s="79" t="n"/>
      <c r="K12" s="80">
        <f>IF(J12="","",IF(LEFT(J12,2)="P0","Bleue",IF(LEFT(J12,2)="P3","Noire","Rouge")))</f>
        <v/>
      </c>
      <c r="L12" s="79" t="n"/>
      <c r="M12" s="79" t="n"/>
      <c r="N12" s="79" t="n"/>
    </row>
    <row r="13">
      <c r="A13" s="75" t="n">
        <v>10</v>
      </c>
      <c r="B13" s="76">
        <f>IF('Enfants'!A16="","",'Enfants'!A16)</f>
        <v/>
      </c>
      <c r="C13" s="76">
        <f>IF('Enfants'!C16="","",'Enfants'!C16)</f>
        <v/>
      </c>
      <c r="D13" s="79" t="n"/>
      <c r="E13" s="79" t="n"/>
      <c r="F13" s="79" t="n"/>
      <c r="G13" s="79" t="n"/>
      <c r="H13" s="79" t="n"/>
      <c r="I13" s="79" t="n"/>
      <c r="J13" s="79" t="n"/>
      <c r="K13" s="80">
        <f>IF(J13="","",IF(LEFT(J13,2)="P0","Bleue",IF(LEFT(J13,2)="P3","Noire","Rouge")))</f>
        <v/>
      </c>
      <c r="L13" s="79" t="n"/>
      <c r="M13" s="79" t="n"/>
      <c r="N13" s="79" t="n"/>
    </row>
    <row r="14">
      <c r="A14" s="75" t="n">
        <v>11</v>
      </c>
      <c r="B14" s="76">
        <f>IF('Enfants'!A17="","",'Enfants'!A17)</f>
        <v/>
      </c>
      <c r="C14" s="76">
        <f>IF('Enfants'!C17="","",'Enfants'!C17)</f>
        <v/>
      </c>
      <c r="D14" s="79" t="n"/>
      <c r="E14" s="79" t="n"/>
      <c r="F14" s="79" t="n"/>
      <c r="G14" s="79" t="n"/>
      <c r="H14" s="79" t="n"/>
      <c r="I14" s="79" t="n"/>
      <c r="J14" s="79" t="n"/>
      <c r="K14" s="80">
        <f>IF(J14="","",IF(LEFT(J14,2)="P0","Bleue",IF(LEFT(J14,2)="P3","Noire","Rouge")))</f>
        <v/>
      </c>
      <c r="L14" s="79" t="n"/>
      <c r="M14" s="79" t="n"/>
      <c r="N14" s="79" t="n"/>
    </row>
    <row r="15">
      <c r="A15" s="75" t="n">
        <v>12</v>
      </c>
      <c r="B15" s="76">
        <f>IF('Enfants'!A18="","",'Enfants'!A18)</f>
        <v/>
      </c>
      <c r="C15" s="76">
        <f>IF('Enfants'!C18="","",'Enfants'!C18)</f>
        <v/>
      </c>
      <c r="D15" s="79" t="n"/>
      <c r="E15" s="79" t="n"/>
      <c r="F15" s="79" t="n"/>
      <c r="G15" s="79" t="n"/>
      <c r="H15" s="79" t="n"/>
      <c r="I15" s="79" t="n"/>
      <c r="J15" s="79" t="n"/>
      <c r="K15" s="80">
        <f>IF(J15="","",IF(LEFT(J15,2)="P0","Bleue",IF(LEFT(J15,2)="P3","Noire","Rouge")))</f>
        <v/>
      </c>
      <c r="L15" s="79" t="n"/>
      <c r="M15" s="79" t="n"/>
      <c r="N15" s="79" t="n"/>
    </row>
    <row r="16">
      <c r="A16" s="75" t="n">
        <v>13</v>
      </c>
      <c r="B16" s="76">
        <f>IF('Enfants'!A19="","",'Enfants'!A19)</f>
        <v/>
      </c>
      <c r="C16" s="76">
        <f>IF('Enfants'!C19="","",'Enfants'!C19)</f>
        <v/>
      </c>
      <c r="D16" s="79" t="n"/>
      <c r="E16" s="79" t="n"/>
      <c r="F16" s="79" t="n"/>
      <c r="G16" s="79" t="n"/>
      <c r="H16" s="79" t="n"/>
      <c r="I16" s="79" t="n"/>
      <c r="J16" s="79" t="n"/>
      <c r="K16" s="80">
        <f>IF(J16="","",IF(LEFT(J16,2)="P0","Bleue",IF(LEFT(J16,2)="P3","Noire","Rouge")))</f>
        <v/>
      </c>
      <c r="L16" s="79" t="n"/>
      <c r="M16" s="79" t="n"/>
      <c r="N16" s="79" t="n"/>
    </row>
    <row r="17">
      <c r="A17" s="75" t="n">
        <v>14</v>
      </c>
      <c r="B17" s="76">
        <f>IF('Enfants'!A20="","",'Enfants'!A20)</f>
        <v/>
      </c>
      <c r="C17" s="76">
        <f>IF('Enfants'!C20="","",'Enfants'!C20)</f>
        <v/>
      </c>
      <c r="D17" s="79" t="n"/>
      <c r="E17" s="79" t="n"/>
      <c r="F17" s="79" t="n"/>
      <c r="G17" s="79" t="n"/>
      <c r="H17" s="79" t="n"/>
      <c r="I17" s="79" t="n"/>
      <c r="J17" s="79" t="n"/>
      <c r="K17" s="80">
        <f>IF(J17="","",IF(LEFT(J17,2)="P0","Bleue",IF(LEFT(J17,2)="P3","Noire","Rouge")))</f>
        <v/>
      </c>
      <c r="L17" s="79" t="n"/>
      <c r="M17" s="79" t="n"/>
      <c r="N17" s="79" t="n"/>
    </row>
    <row r="18">
      <c r="A18" s="75" t="n">
        <v>15</v>
      </c>
      <c r="B18" s="76">
        <f>IF('Enfants'!A21="","",'Enfants'!A21)</f>
        <v/>
      </c>
      <c r="C18" s="76">
        <f>IF('Enfants'!C21="","",'Enfants'!C21)</f>
        <v/>
      </c>
      <c r="D18" s="79" t="n"/>
      <c r="E18" s="79" t="n"/>
      <c r="F18" s="79" t="n"/>
      <c r="G18" s="79" t="n"/>
      <c r="H18" s="79" t="n"/>
      <c r="I18" s="79" t="n"/>
      <c r="J18" s="79" t="n"/>
      <c r="K18" s="80">
        <f>IF(J18="","",IF(LEFT(J18,2)="P0","Bleue",IF(LEFT(J18,2)="P3","Noire","Rouge")))</f>
        <v/>
      </c>
      <c r="L18" s="79" t="n"/>
      <c r="M18" s="79" t="n"/>
      <c r="N18" s="79" t="n"/>
    </row>
    <row r="19">
      <c r="A19" s="75" t="n">
        <v>16</v>
      </c>
      <c r="B19" s="76">
        <f>IF('Enfants'!A22="","",'Enfants'!A22)</f>
        <v/>
      </c>
      <c r="C19" s="76">
        <f>IF('Enfants'!C22="","",'Enfants'!C22)</f>
        <v/>
      </c>
      <c r="D19" s="79" t="n"/>
      <c r="E19" s="79" t="n"/>
      <c r="F19" s="79" t="n"/>
      <c r="G19" s="79" t="n"/>
      <c r="H19" s="79" t="n"/>
      <c r="I19" s="79" t="n"/>
      <c r="J19" s="79" t="n"/>
      <c r="K19" s="80">
        <f>IF(J19="","",IF(LEFT(J19,2)="P0","Bleue",IF(LEFT(J19,2)="P3","Noire","Rouge")))</f>
        <v/>
      </c>
      <c r="L19" s="79" t="n"/>
      <c r="M19" s="79" t="n"/>
      <c r="N19" s="79" t="n"/>
    </row>
    <row r="20">
      <c r="A20" s="75" t="n">
        <v>17</v>
      </c>
      <c r="B20" s="76">
        <f>IF('Enfants'!A23="","",'Enfants'!A23)</f>
        <v/>
      </c>
      <c r="C20" s="76">
        <f>IF('Enfants'!C23="","",'Enfants'!C23)</f>
        <v/>
      </c>
      <c r="D20" s="79" t="n"/>
      <c r="E20" s="79" t="n"/>
      <c r="F20" s="79" t="n"/>
      <c r="G20" s="79" t="n"/>
      <c r="H20" s="79" t="n"/>
      <c r="I20" s="79" t="n"/>
      <c r="J20" s="79" t="n"/>
      <c r="K20" s="80">
        <f>IF(J20="","",IF(LEFT(J20,2)="P0","Bleue",IF(LEFT(J20,2)="P3","Noire","Rouge")))</f>
        <v/>
      </c>
      <c r="L20" s="79" t="n"/>
      <c r="M20" s="79" t="n"/>
      <c r="N20" s="79" t="n"/>
    </row>
    <row r="21">
      <c r="A21" s="75" t="n">
        <v>18</v>
      </c>
      <c r="B21" s="76">
        <f>IF('Enfants'!A24="","",'Enfants'!A24)</f>
        <v/>
      </c>
      <c r="C21" s="76">
        <f>IF('Enfants'!C24="","",'Enfants'!C24)</f>
        <v/>
      </c>
      <c r="D21" s="79" t="n"/>
      <c r="E21" s="79" t="n"/>
      <c r="F21" s="79" t="n"/>
      <c r="G21" s="79" t="n"/>
      <c r="H21" s="79" t="n"/>
      <c r="I21" s="79" t="n"/>
      <c r="J21" s="79" t="n"/>
      <c r="K21" s="80">
        <f>IF(J21="","",IF(LEFT(J21,2)="P0","Bleue",IF(LEFT(J21,2)="P3","Noire","Rouge")))</f>
        <v/>
      </c>
      <c r="L21" s="79" t="n"/>
      <c r="M21" s="79" t="n"/>
      <c r="N21" s="79" t="n"/>
    </row>
    <row r="22">
      <c r="A22" s="75" t="n">
        <v>19</v>
      </c>
      <c r="B22" s="76">
        <f>IF('Enfants'!A25="","",'Enfants'!A25)</f>
        <v/>
      </c>
      <c r="C22" s="76">
        <f>IF('Enfants'!C25="","",'Enfants'!C25)</f>
        <v/>
      </c>
      <c r="D22" s="79" t="n"/>
      <c r="E22" s="79" t="n"/>
      <c r="F22" s="79" t="n"/>
      <c r="G22" s="79" t="n"/>
      <c r="H22" s="79" t="n"/>
      <c r="I22" s="79" t="n"/>
      <c r="J22" s="79" t="n"/>
      <c r="K22" s="80">
        <f>IF(J22="","",IF(LEFT(J22,2)="P0","Bleue",IF(LEFT(J22,2)="P3","Noire","Rouge")))</f>
        <v/>
      </c>
      <c r="L22" s="79" t="n"/>
      <c r="M22" s="79" t="n"/>
      <c r="N22" s="79" t="n"/>
    </row>
    <row r="23">
      <c r="A23" s="75" t="n">
        <v>20</v>
      </c>
      <c r="B23" s="76">
        <f>IF('Enfants'!A26="","",'Enfants'!A26)</f>
        <v/>
      </c>
      <c r="C23" s="76">
        <f>IF('Enfants'!C26="","",'Enfants'!C26)</f>
        <v/>
      </c>
      <c r="D23" s="79" t="n"/>
      <c r="E23" s="79" t="n"/>
      <c r="F23" s="79" t="n"/>
      <c r="G23" s="79" t="n"/>
      <c r="H23" s="79" t="n"/>
      <c r="I23" s="79" t="n"/>
      <c r="J23" s="79" t="n"/>
      <c r="K23" s="80">
        <f>IF(J23="","",IF(LEFT(J23,2)="P0","Bleue",IF(LEFT(J23,2)="P3","Noire","Rouge")))</f>
        <v/>
      </c>
      <c r="L23" s="79" t="n"/>
      <c r="M23" s="79" t="n"/>
      <c r="N23" s="79" t="n"/>
    </row>
    <row r="24">
      <c r="A24" s="75" t="n">
        <v>21</v>
      </c>
      <c r="B24" s="76">
        <f>IF('Enfants'!A27="","",'Enfants'!A27)</f>
        <v/>
      </c>
      <c r="C24" s="76">
        <f>IF('Enfants'!C27="","",'Enfants'!C27)</f>
        <v/>
      </c>
      <c r="D24" s="79" t="n"/>
      <c r="E24" s="79" t="n"/>
      <c r="F24" s="79" t="n"/>
      <c r="G24" s="79" t="n"/>
      <c r="H24" s="79" t="n"/>
      <c r="I24" s="79" t="n"/>
      <c r="J24" s="79" t="n"/>
      <c r="K24" s="80">
        <f>IF(J24="","",IF(LEFT(J24,2)="P0","Bleue",IF(LEFT(J24,2)="P3","Noire","Rouge")))</f>
        <v/>
      </c>
      <c r="L24" s="79" t="n"/>
      <c r="M24" s="79" t="n"/>
      <c r="N24" s="79" t="n"/>
    </row>
    <row r="25">
      <c r="A25" s="75" t="n">
        <v>22</v>
      </c>
      <c r="B25" s="76">
        <f>IF('Enfants'!A28="","",'Enfants'!A28)</f>
        <v/>
      </c>
      <c r="C25" s="76">
        <f>IF('Enfants'!C28="","",'Enfants'!C28)</f>
        <v/>
      </c>
      <c r="D25" s="79" t="n"/>
      <c r="E25" s="79" t="n"/>
      <c r="F25" s="79" t="n"/>
      <c r="G25" s="79" t="n"/>
      <c r="H25" s="79" t="n"/>
      <c r="I25" s="79" t="n"/>
      <c r="J25" s="79" t="n"/>
      <c r="K25" s="80">
        <f>IF(J25="","",IF(LEFT(J25,2)="P0","Bleue",IF(LEFT(J25,2)="P3","Noire","Rouge")))</f>
        <v/>
      </c>
      <c r="L25" s="79" t="n"/>
      <c r="M25" s="79" t="n"/>
      <c r="N25" s="79" t="n"/>
    </row>
    <row r="26">
      <c r="A26" s="75" t="n">
        <v>23</v>
      </c>
      <c r="B26" s="76">
        <f>IF('Enfants'!A29="","",'Enfants'!A29)</f>
        <v/>
      </c>
      <c r="C26" s="76">
        <f>IF('Enfants'!C29="","",'Enfants'!C29)</f>
        <v/>
      </c>
      <c r="D26" s="79" t="n"/>
      <c r="E26" s="79" t="n"/>
      <c r="F26" s="79" t="n"/>
      <c r="G26" s="79" t="n"/>
      <c r="H26" s="79" t="n"/>
      <c r="I26" s="79" t="n"/>
      <c r="J26" s="79" t="n"/>
      <c r="K26" s="80">
        <f>IF(J26="","",IF(LEFT(J26,2)="P0","Bleue",IF(LEFT(J26,2)="P3","Noire","Rouge")))</f>
        <v/>
      </c>
      <c r="L26" s="79" t="n"/>
      <c r="M26" s="79" t="n"/>
      <c r="N26" s="79" t="n"/>
    </row>
    <row r="27">
      <c r="A27" s="75" t="n">
        <v>24</v>
      </c>
      <c r="B27" s="76">
        <f>IF('Enfants'!A30="","",'Enfants'!A30)</f>
        <v/>
      </c>
      <c r="C27" s="76">
        <f>IF('Enfants'!C30="","",'Enfants'!C30)</f>
        <v/>
      </c>
      <c r="D27" s="79" t="n"/>
      <c r="E27" s="79" t="n"/>
      <c r="F27" s="79" t="n"/>
      <c r="G27" s="79" t="n"/>
      <c r="H27" s="79" t="n"/>
      <c r="I27" s="79" t="n"/>
      <c r="J27" s="79" t="n"/>
      <c r="K27" s="80">
        <f>IF(J27="","",IF(LEFT(J27,2)="P0","Bleue",IF(LEFT(J27,2)="P3","Noire","Rouge")))</f>
        <v/>
      </c>
      <c r="L27" s="79" t="n"/>
      <c r="M27" s="79" t="n"/>
      <c r="N27" s="79" t="n"/>
    </row>
    <row r="28">
      <c r="A28" s="75" t="n">
        <v>25</v>
      </c>
      <c r="B28" s="76">
        <f>IF('Enfants'!A31="","",'Enfants'!A31)</f>
        <v/>
      </c>
      <c r="C28" s="76">
        <f>IF('Enfants'!C31="","",'Enfants'!C31)</f>
        <v/>
      </c>
      <c r="D28" s="79" t="n"/>
      <c r="E28" s="79" t="n"/>
      <c r="F28" s="79" t="n"/>
      <c r="G28" s="79" t="n"/>
      <c r="H28" s="79" t="n"/>
      <c r="I28" s="79" t="n"/>
      <c r="J28" s="79" t="n"/>
      <c r="K28" s="80">
        <f>IF(J28="","",IF(LEFT(J28,2)="P0","Bleue",IF(LEFT(J28,2)="P3","Noire","Rouge")))</f>
        <v/>
      </c>
      <c r="L28" s="79" t="n"/>
      <c r="M28" s="79" t="n"/>
      <c r="N28" s="79" t="n"/>
    </row>
    <row r="29">
      <c r="A29" s="75" t="n">
        <v>26</v>
      </c>
      <c r="B29" s="76">
        <f>IF('Enfants'!A32="","",'Enfants'!A32)</f>
        <v/>
      </c>
      <c r="C29" s="76">
        <f>IF('Enfants'!C32="","",'Enfants'!C32)</f>
        <v/>
      </c>
      <c r="D29" s="79" t="n"/>
      <c r="E29" s="79" t="n"/>
      <c r="F29" s="79" t="n"/>
      <c r="G29" s="79" t="n"/>
      <c r="H29" s="79" t="n"/>
      <c r="I29" s="79" t="n"/>
      <c r="J29" s="79" t="n"/>
      <c r="K29" s="80">
        <f>IF(J29="","",IF(LEFT(J29,2)="P0","Bleue",IF(LEFT(J29,2)="P3","Noire","Rouge")))</f>
        <v/>
      </c>
      <c r="L29" s="79" t="n"/>
      <c r="M29" s="79" t="n"/>
      <c r="N29" s="79" t="n"/>
    </row>
    <row r="30">
      <c r="A30" s="75" t="n">
        <v>27</v>
      </c>
      <c r="B30" s="76">
        <f>IF('Enfants'!A33="","",'Enfants'!A33)</f>
        <v/>
      </c>
      <c r="C30" s="76">
        <f>IF('Enfants'!C33="","",'Enfants'!C33)</f>
        <v/>
      </c>
      <c r="D30" s="79" t="n"/>
      <c r="E30" s="79" t="n"/>
      <c r="F30" s="79" t="n"/>
      <c r="G30" s="79" t="n"/>
      <c r="H30" s="79" t="n"/>
      <c r="I30" s="79" t="n"/>
      <c r="J30" s="79" t="n"/>
      <c r="K30" s="80">
        <f>IF(J30="","",IF(LEFT(J30,2)="P0","Bleue",IF(LEFT(J30,2)="P3","Noire","Rouge")))</f>
        <v/>
      </c>
      <c r="L30" s="79" t="n"/>
      <c r="M30" s="79" t="n"/>
      <c r="N30" s="79" t="n"/>
    </row>
    <row r="31">
      <c r="A31" s="75" t="n">
        <v>28</v>
      </c>
      <c r="B31" s="76">
        <f>IF('Enfants'!A34="","",'Enfants'!A34)</f>
        <v/>
      </c>
      <c r="C31" s="76">
        <f>IF('Enfants'!C34="","",'Enfants'!C34)</f>
        <v/>
      </c>
      <c r="D31" s="79" t="n"/>
      <c r="E31" s="79" t="n"/>
      <c r="F31" s="79" t="n"/>
      <c r="G31" s="79" t="n"/>
      <c r="H31" s="79" t="n"/>
      <c r="I31" s="79" t="n"/>
      <c r="J31" s="79" t="n"/>
      <c r="K31" s="80">
        <f>IF(J31="","",IF(LEFT(J31,2)="P0","Bleue",IF(LEFT(J31,2)="P3","Noire","Rouge")))</f>
        <v/>
      </c>
      <c r="L31" s="79" t="n"/>
      <c r="M31" s="79" t="n"/>
      <c r="N31" s="79" t="n"/>
    </row>
    <row r="32">
      <c r="A32" s="75" t="n">
        <v>29</v>
      </c>
      <c r="B32" s="76">
        <f>IF('Enfants'!A35="","",'Enfants'!A35)</f>
        <v/>
      </c>
      <c r="C32" s="76">
        <f>IF('Enfants'!C35="","",'Enfants'!C35)</f>
        <v/>
      </c>
      <c r="D32" s="79" t="n"/>
      <c r="E32" s="79" t="n"/>
      <c r="F32" s="79" t="n"/>
      <c r="G32" s="79" t="n"/>
      <c r="H32" s="79" t="n"/>
      <c r="I32" s="79" t="n"/>
      <c r="J32" s="79" t="n"/>
      <c r="K32" s="80">
        <f>IF(J32="","",IF(LEFT(J32,2)="P0","Bleue",IF(LEFT(J32,2)="P3","Noire","Rouge")))</f>
        <v/>
      </c>
      <c r="L32" s="79" t="n"/>
      <c r="M32" s="79" t="n"/>
      <c r="N32" s="79" t="n"/>
    </row>
    <row r="33">
      <c r="A33" s="75" t="n">
        <v>30</v>
      </c>
      <c r="B33" s="76">
        <f>IF('Enfants'!A36="","",'Enfants'!A36)</f>
        <v/>
      </c>
      <c r="C33" s="76">
        <f>IF('Enfants'!C36="","",'Enfants'!C36)</f>
        <v/>
      </c>
      <c r="D33" s="79" t="n"/>
      <c r="E33" s="79" t="n"/>
      <c r="F33" s="79" t="n"/>
      <c r="G33" s="79" t="n"/>
      <c r="H33" s="79" t="n"/>
      <c r="I33" s="79" t="n"/>
      <c r="J33" s="79" t="n"/>
      <c r="K33" s="80">
        <f>IF(J33="","",IF(LEFT(J33,2)="P0","Bleue",IF(LEFT(J33,2)="P3","Noire","Rouge")))</f>
        <v/>
      </c>
      <c r="L33" s="79" t="n"/>
      <c r="M33" s="79" t="n"/>
      <c r="N33" s="79" t="n"/>
    </row>
    <row r="34">
      <c r="A34" s="75" t="n">
        <v>31</v>
      </c>
      <c r="B34" s="76">
        <f>IF('Enfants'!A37="","",'Enfants'!A37)</f>
        <v/>
      </c>
      <c r="C34" s="76">
        <f>IF('Enfants'!C37="","",'Enfants'!C37)</f>
        <v/>
      </c>
      <c r="D34" s="79" t="n"/>
      <c r="E34" s="79" t="n"/>
      <c r="F34" s="79" t="n"/>
      <c r="G34" s="79" t="n"/>
      <c r="H34" s="79" t="n"/>
      <c r="I34" s="79" t="n"/>
      <c r="J34" s="79" t="n"/>
      <c r="K34" s="80">
        <f>IF(J34="","",IF(LEFT(J34,2)="P0","Bleue",IF(LEFT(J34,2)="P3","Noire","Rouge")))</f>
        <v/>
      </c>
      <c r="L34" s="79" t="n"/>
      <c r="M34" s="79" t="n"/>
      <c r="N34" s="79" t="n"/>
    </row>
    <row r="35">
      <c r="A35" s="75" t="n">
        <v>32</v>
      </c>
      <c r="B35" s="76">
        <f>IF('Enfants'!A38="","",'Enfants'!A38)</f>
        <v/>
      </c>
      <c r="C35" s="76">
        <f>IF('Enfants'!C38="","",'Enfants'!C38)</f>
        <v/>
      </c>
      <c r="D35" s="79" t="n"/>
      <c r="E35" s="79" t="n"/>
      <c r="F35" s="79" t="n"/>
      <c r="G35" s="79" t="n"/>
      <c r="H35" s="79" t="n"/>
      <c r="I35" s="79" t="n"/>
      <c r="J35" s="79" t="n"/>
      <c r="K35" s="80">
        <f>IF(J35="","",IF(LEFT(J35,2)="P0","Bleue",IF(LEFT(J35,2)="P3","Noire","Rouge")))</f>
        <v/>
      </c>
      <c r="L35" s="79" t="n"/>
      <c r="M35" s="79" t="n"/>
      <c r="N35" s="79" t="n"/>
    </row>
    <row r="36">
      <c r="A36" s="75" t="n">
        <v>33</v>
      </c>
      <c r="B36" s="76">
        <f>IF('Enfants'!A39="","",'Enfants'!A39)</f>
        <v/>
      </c>
      <c r="C36" s="76">
        <f>IF('Enfants'!C39="","",'Enfants'!C39)</f>
        <v/>
      </c>
      <c r="D36" s="79" t="n"/>
      <c r="E36" s="79" t="n"/>
      <c r="F36" s="79" t="n"/>
      <c r="G36" s="79" t="n"/>
      <c r="H36" s="79" t="n"/>
      <c r="I36" s="79" t="n"/>
      <c r="J36" s="79" t="n"/>
      <c r="K36" s="80">
        <f>IF(J36="","",IF(LEFT(J36,2)="P0","Bleue",IF(LEFT(J36,2)="P3","Noire","Rouge")))</f>
        <v/>
      </c>
      <c r="L36" s="79" t="n"/>
      <c r="M36" s="79" t="n"/>
      <c r="N36" s="79" t="n"/>
    </row>
    <row r="37">
      <c r="A37" s="75" t="n">
        <v>34</v>
      </c>
      <c r="B37" s="76">
        <f>IF('Enfants'!A40="","",'Enfants'!A40)</f>
        <v/>
      </c>
      <c r="C37" s="76">
        <f>IF('Enfants'!C40="","",'Enfants'!C40)</f>
        <v/>
      </c>
      <c r="D37" s="79" t="n"/>
      <c r="E37" s="79" t="n"/>
      <c r="F37" s="79" t="n"/>
      <c r="G37" s="79" t="n"/>
      <c r="H37" s="79" t="n"/>
      <c r="I37" s="79" t="n"/>
      <c r="J37" s="79" t="n"/>
      <c r="K37" s="80">
        <f>IF(J37="","",IF(LEFT(J37,2)="P0","Bleue",IF(LEFT(J37,2)="P3","Noire","Rouge")))</f>
        <v/>
      </c>
      <c r="L37" s="79" t="n"/>
      <c r="M37" s="79" t="n"/>
      <c r="N37" s="79" t="n"/>
    </row>
    <row r="38">
      <c r="A38" s="75" t="n">
        <v>35</v>
      </c>
      <c r="B38" s="76">
        <f>IF('Enfants'!A41="","",'Enfants'!A41)</f>
        <v/>
      </c>
      <c r="C38" s="76">
        <f>IF('Enfants'!C41="","",'Enfants'!C41)</f>
        <v/>
      </c>
      <c r="D38" s="79" t="n"/>
      <c r="E38" s="79" t="n"/>
      <c r="F38" s="79" t="n"/>
      <c r="G38" s="79" t="n"/>
      <c r="H38" s="79" t="n"/>
      <c r="I38" s="79" t="n"/>
      <c r="J38" s="79" t="n"/>
      <c r="K38" s="80">
        <f>IF(J38="","",IF(LEFT(J38,2)="P0","Bleue",IF(LEFT(J38,2)="P3","Noire","Rouge")))</f>
        <v/>
      </c>
      <c r="L38" s="79" t="n"/>
      <c r="M38" s="79" t="n"/>
      <c r="N38" s="79" t="n"/>
    </row>
    <row r="39">
      <c r="A39" s="75" t="n">
        <v>36</v>
      </c>
      <c r="B39" s="76">
        <f>IF('Enfants'!A42="","",'Enfants'!A42)</f>
        <v/>
      </c>
      <c r="C39" s="76">
        <f>IF('Enfants'!C42="","",'Enfants'!C42)</f>
        <v/>
      </c>
      <c r="D39" s="79" t="n"/>
      <c r="E39" s="79" t="n"/>
      <c r="F39" s="79" t="n"/>
      <c r="G39" s="79" t="n"/>
      <c r="H39" s="79" t="n"/>
      <c r="I39" s="79" t="n"/>
      <c r="J39" s="79" t="n"/>
      <c r="K39" s="80">
        <f>IF(J39="","",IF(LEFT(J39,2)="P0","Bleue",IF(LEFT(J39,2)="P3","Noire","Rouge")))</f>
        <v/>
      </c>
      <c r="L39" s="79" t="n"/>
      <c r="M39" s="79" t="n"/>
      <c r="N39" s="79" t="n"/>
    </row>
    <row r="40">
      <c r="A40" s="75" t="n">
        <v>37</v>
      </c>
      <c r="B40" s="76">
        <f>IF('Enfants'!A43="","",'Enfants'!A43)</f>
        <v/>
      </c>
      <c r="C40" s="76">
        <f>IF('Enfants'!C43="","",'Enfants'!C43)</f>
        <v/>
      </c>
      <c r="D40" s="79" t="n"/>
      <c r="E40" s="79" t="n"/>
      <c r="F40" s="79" t="n"/>
      <c r="G40" s="79" t="n"/>
      <c r="H40" s="79" t="n"/>
      <c r="I40" s="79" t="n"/>
      <c r="J40" s="79" t="n"/>
      <c r="K40" s="80">
        <f>IF(J40="","",IF(LEFT(J40,2)="P0","Bleue",IF(LEFT(J40,2)="P3","Noire","Rouge")))</f>
        <v/>
      </c>
      <c r="L40" s="79" t="n"/>
      <c r="M40" s="79" t="n"/>
      <c r="N40" s="79" t="n"/>
    </row>
    <row r="41">
      <c r="A41" s="75" t="n">
        <v>38</v>
      </c>
      <c r="B41" s="76">
        <f>IF('Enfants'!A44="","",'Enfants'!A44)</f>
        <v/>
      </c>
      <c r="C41" s="76">
        <f>IF('Enfants'!C44="","",'Enfants'!C44)</f>
        <v/>
      </c>
      <c r="D41" s="79" t="n"/>
      <c r="E41" s="79" t="n"/>
      <c r="F41" s="79" t="n"/>
      <c r="G41" s="79" t="n"/>
      <c r="H41" s="79" t="n"/>
      <c r="I41" s="79" t="n"/>
      <c r="J41" s="79" t="n"/>
      <c r="K41" s="80">
        <f>IF(J41="","",IF(LEFT(J41,2)="P0","Bleue",IF(LEFT(J41,2)="P3","Noire","Rouge")))</f>
        <v/>
      </c>
      <c r="L41" s="79" t="n"/>
      <c r="M41" s="79" t="n"/>
      <c r="N41" s="79" t="n"/>
    </row>
    <row r="42">
      <c r="A42" s="75" t="n">
        <v>39</v>
      </c>
      <c r="B42" s="76">
        <f>IF('Enfants'!A45="","",'Enfants'!A45)</f>
        <v/>
      </c>
      <c r="C42" s="76">
        <f>IF('Enfants'!C45="","",'Enfants'!C45)</f>
        <v/>
      </c>
      <c r="D42" s="79" t="n"/>
      <c r="E42" s="79" t="n"/>
      <c r="F42" s="79" t="n"/>
      <c r="G42" s="79" t="n"/>
      <c r="H42" s="79" t="n"/>
      <c r="I42" s="79" t="n"/>
      <c r="J42" s="79" t="n"/>
      <c r="K42" s="80">
        <f>IF(J42="","",IF(LEFT(J42,2)="P0","Bleue",IF(LEFT(J42,2)="P3","Noire","Rouge")))</f>
        <v/>
      </c>
      <c r="L42" s="79" t="n"/>
      <c r="M42" s="79" t="n"/>
      <c r="N42" s="79" t="n"/>
    </row>
    <row r="43">
      <c r="A43" s="75" t="n">
        <v>40</v>
      </c>
      <c r="B43" s="76">
        <f>IF('Enfants'!A46="","",'Enfants'!A46)</f>
        <v/>
      </c>
      <c r="C43" s="76">
        <f>IF('Enfants'!C46="","",'Enfants'!C46)</f>
        <v/>
      </c>
      <c r="D43" s="79" t="n"/>
      <c r="E43" s="79" t="n"/>
      <c r="F43" s="79" t="n"/>
      <c r="G43" s="79" t="n"/>
      <c r="H43" s="79" t="n"/>
      <c r="I43" s="79" t="n"/>
      <c r="J43" s="79" t="n"/>
      <c r="K43" s="80">
        <f>IF(J43="","",IF(LEFT(J43,2)="P0","Bleue",IF(LEFT(J43,2)="P3","Noire","Rouge")))</f>
        <v/>
      </c>
      <c r="L43" s="79" t="n"/>
      <c r="M43" s="79" t="n"/>
      <c r="N43" s="79" t="n"/>
    </row>
  </sheetData>
  <mergeCells count="2">
    <mergeCell ref="A2:N2"/>
    <mergeCell ref="A1:N1"/>
  </mergeCells>
  <dataValidations count="5">
    <dataValidation sqref="J4:J43" showDropDown="0" showInputMessage="0" showErrorMessage="0" allowBlank="1" errorTitle="Valeur non prevue" error="Choisissez une valeur dans la liste." type="list">
      <formula1>"P0 Découvreur,P1 Initié,P2 Autonome,P3 Avancé"</formula1>
    </dataValidation>
    <dataValidation sqref="M4:N43" showDropDown="0" showInputMessage="0" showErrorMessage="0" allowBlank="1" errorTitle="Valeur non prevue" error="Choisissez une valeur dans la liste." type="list">
      <formula1>"P0 Découvreur,P1 Initié,P2 Autonome,P3 Avancé"</formula1>
    </dataValidation>
    <dataValidation sqref="I4:I43" showDropDown="0" showInputMessage="0" showErrorMessage="0" allowBlank="1" errorTitle="Valeur non prevue" error="Choisissez une valeur dans la liste." type="list">
      <formula1>"abandonne,demande,persévère,aide les autres"</formula1>
    </dataValidation>
    <dataValidation sqref="F4:F43" showDropDown="0" showInputMessage="0" showErrorMessage="0" allowBlank="1" errorTitle="Valeur non prevue" error="Choisissez une valeur dans la liste." type="list">
      <formula1>"Jamais,Scratch,Python,Autre"</formula1>
    </dataValidation>
    <dataValidation sqref="G4:H43" showDropDown="0" showInputMessage="0" showErrorMessage="0" allowBlank="1" errorTitle="Valeur non prevue" error="Choisissez une valeur dans la liste." type="list">
      <formula1>"Non,Un peu,Oui"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3" min="1" max="1"/>
    <col width="30" customWidth="1" style="23" min="2" max="2"/>
    <col width="17" customWidth="1" style="23" min="3" max="3"/>
    <col width="8" customWidth="1" style="23" min="4" max="4"/>
    <col width="8" customWidth="1" style="23" min="5" max="5"/>
    <col width="8" customWidth="1" style="23" min="6" max="6"/>
    <col width="8" customWidth="1" style="23" min="7" max="7"/>
    <col width="8" customWidth="1" style="23" min="8" max="8"/>
    <col width="8" customWidth="1" style="23" min="9" max="9"/>
    <col width="8" customWidth="1" style="23" min="10" max="10"/>
    <col width="8" customWidth="1" style="23" min="11" max="11"/>
    <col width="8" customWidth="1" style="23" min="12" max="12"/>
    <col width="8" customWidth="1" style="23" min="13" max="13"/>
    <col width="8" customWidth="1" style="23" min="14" max="14"/>
    <col width="8" customWidth="1" style="23" min="15" max="15"/>
    <col width="8" customWidth="1" style="23" min="16" max="16"/>
    <col width="8" customWidth="1" style="23" min="17" max="17"/>
    <col width="8" customWidth="1" style="23" min="18" max="18"/>
    <col width="8" customWidth="1" style="23" min="19" max="19"/>
    <col width="8" customWidth="1" style="23" min="20" max="20"/>
    <col width="8" customWidth="1" style="23" min="21" max="21"/>
    <col width="8" customWidth="1" style="23" min="22" max="22"/>
    <col width="8" customWidth="1" style="23" min="23" max="23"/>
    <col width="8" customWidth="1" style="23" min="24" max="24"/>
    <col width="8" customWidth="1" style="23" min="25" max="25"/>
    <col width="10" customWidth="1" style="23" min="26" max="26"/>
    <col width="10" customWidth="1" style="23" min="27" max="27"/>
    <col width="9" customWidth="1" style="23" min="28" max="28"/>
    <col width="14" customWidth="1" style="23" min="29" max="29"/>
  </cols>
  <sheetData>
    <row r="1" ht="26" customHeight="1" s="23">
      <c r="A1" s="52" t="inlineStr">
        <is>
          <t>SUIVI DES SÉANCES — QUI A PRODUIT SA BRIQUE ?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</row>
    <row r="2" ht="30" customHeight="1" s="23">
      <c r="A2" s="57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  <c r="Z2" s="57" t="n"/>
      <c r="AA2" s="57" t="n"/>
      <c r="AB2" s="57" t="n"/>
      <c r="AC2" s="57" t="n"/>
    </row>
    <row r="3" ht="32" customHeight="1" s="23">
      <c r="A3" s="74" t="inlineStr">
        <is>
          <t>N°</t>
        </is>
      </c>
      <c r="B3" s="74" t="inlineStr">
        <is>
          <t>NOM et Prénoms</t>
        </is>
      </c>
      <c r="C3" s="74" t="inlineStr">
        <is>
          <t>Classe</t>
        </is>
      </c>
      <c r="D3" s="74" t="inlineStr">
        <is>
          <t>S01</t>
        </is>
      </c>
      <c r="E3" s="74" t="inlineStr">
        <is>
          <t>S02</t>
        </is>
      </c>
      <c r="F3" s="74" t="inlineStr">
        <is>
          <t>S03</t>
        </is>
      </c>
      <c r="G3" s="74" t="inlineStr">
        <is>
          <t>S04</t>
        </is>
      </c>
      <c r="H3" s="74" t="inlineStr">
        <is>
          <t>S05</t>
        </is>
      </c>
      <c r="I3" s="74" t="inlineStr">
        <is>
          <t>S06</t>
        </is>
      </c>
      <c r="J3" s="74" t="inlineStr">
        <is>
          <t>S07</t>
        </is>
      </c>
      <c r="K3" s="74" t="inlineStr">
        <is>
          <t>S08</t>
        </is>
      </c>
      <c r="L3" s="74" t="inlineStr">
        <is>
          <t>S09</t>
        </is>
      </c>
      <c r="M3" s="74" t="inlineStr">
        <is>
          <t>S10</t>
        </is>
      </c>
      <c r="N3" s="74" t="inlineStr">
        <is>
          <t>S11</t>
        </is>
      </c>
      <c r="O3" s="74" t="inlineStr">
        <is>
          <t>S12</t>
        </is>
      </c>
      <c r="P3" s="74" t="inlineStr">
        <is>
          <t>S13</t>
        </is>
      </c>
      <c r="Q3" s="74" t="inlineStr">
        <is>
          <t>S14</t>
        </is>
      </c>
      <c r="R3" s="74" t="inlineStr">
        <is>
          <t>S15</t>
        </is>
      </c>
      <c r="S3" s="74" t="inlineStr">
        <is>
          <t>S16</t>
        </is>
      </c>
      <c r="T3" s="74" t="inlineStr">
        <is>
          <t>S17</t>
        </is>
      </c>
      <c r="U3" s="74" t="inlineStr">
        <is>
          <t>S18</t>
        </is>
      </c>
      <c r="V3" s="74" t="inlineStr">
        <is>
          <t>S19</t>
        </is>
      </c>
      <c r="W3" s="74" t="inlineStr">
        <is>
          <t>S20</t>
        </is>
      </c>
      <c r="X3" s="74" t="inlineStr">
        <is>
          <t>S21</t>
        </is>
      </c>
      <c r="Y3" s="74" t="inlineStr">
        <is>
          <t>S22</t>
        </is>
      </c>
      <c r="Z3" s="74" t="inlineStr">
        <is>
          <t>Briques</t>
        </is>
      </c>
      <c r="AA3" s="74" t="inlineStr">
        <is>
          <t>Partielles</t>
        </is>
      </c>
      <c r="AB3" s="74" t="inlineStr">
        <is>
          <t>Rien</t>
        </is>
      </c>
      <c r="AC3" s="74" t="inlineStr">
        <is>
          <t>ALERTE 10 min</t>
        </is>
      </c>
    </row>
    <row r="4">
      <c r="A4" s="75" t="n">
        <v>1</v>
      </c>
      <c r="B4" s="76">
        <f>IF('Enfants'!A7="","",'Enfants'!A7)</f>
        <v/>
      </c>
      <c r="C4" s="76">
        <f>IF('Enfants'!C7="","",'Enfants'!C7)</f>
        <v/>
      </c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6">
        <f>IF('Enfants'!A7="","",COUNTIF(D4:Y4,"V*"))</f>
        <v/>
      </c>
      <c r="AA4" s="76">
        <f>IF('Enfants'!A7="","",COUNTIF(D4:Y4,"Partielle"))</f>
        <v/>
      </c>
      <c r="AB4" s="76">
        <f>IF('Enfants'!A7="","",COUNTIF(D4:Y4,"Rien"))</f>
        <v/>
      </c>
      <c r="AC4" s="76">
        <f>IF(SUMPRODUCT(((D4:X4="Partielle")+(D4:X4="Rien"))*((E4:Y4="Partielle")+(E4:Y4="Rien")))&gt;0,"OUI","")</f>
        <v/>
      </c>
    </row>
    <row r="5">
      <c r="A5" s="75" t="n">
        <v>2</v>
      </c>
      <c r="B5" s="76">
        <f>IF('Enfants'!A8="","",'Enfants'!A8)</f>
        <v/>
      </c>
      <c r="C5" s="76">
        <f>IF('Enfants'!C8="","",'Enfants'!C8)</f>
        <v/>
      </c>
      <c r="D5" s="77" t="n"/>
      <c r="E5" s="77" t="n"/>
      <c r="F5" s="77" t="n"/>
      <c r="G5" s="77" t="n"/>
      <c r="H5" s="77" t="n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6">
        <f>IF('Enfants'!A8="","",COUNTIF(D5:Y5,"V*"))</f>
        <v/>
      </c>
      <c r="AA5" s="76">
        <f>IF('Enfants'!A8="","",COUNTIF(D5:Y5,"Partielle"))</f>
        <v/>
      </c>
      <c r="AB5" s="76">
        <f>IF('Enfants'!A8="","",COUNTIF(D5:Y5,"Rien"))</f>
        <v/>
      </c>
      <c r="AC5" s="76">
        <f>IF(SUMPRODUCT(((D5:X5="Partielle")+(D5:X5="Rien"))*((E5:Y5="Partielle")+(E5:Y5="Rien")))&gt;0,"OUI","")</f>
        <v/>
      </c>
    </row>
    <row r="6">
      <c r="A6" s="75" t="n">
        <v>3</v>
      </c>
      <c r="B6" s="76">
        <f>IF('Enfants'!A9="","",'Enfants'!A9)</f>
        <v/>
      </c>
      <c r="C6" s="76">
        <f>IF('Enfants'!C9="","",'Enfants'!C9)</f>
        <v/>
      </c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6">
        <f>IF('Enfants'!A9="","",COUNTIF(D6:Y6,"V*"))</f>
        <v/>
      </c>
      <c r="AA6" s="76">
        <f>IF('Enfants'!A9="","",COUNTIF(D6:Y6,"Partielle"))</f>
        <v/>
      </c>
      <c r="AB6" s="76">
        <f>IF('Enfants'!A9="","",COUNTIF(D6:Y6,"Rien"))</f>
        <v/>
      </c>
      <c r="AC6" s="76">
        <f>IF(SUMPRODUCT(((D6:X6="Partielle")+(D6:X6="Rien"))*((E6:Y6="Partielle")+(E6:Y6="Rien")))&gt;0,"OUI","")</f>
        <v/>
      </c>
    </row>
    <row r="7">
      <c r="A7" s="75" t="n">
        <v>4</v>
      </c>
      <c r="B7" s="76">
        <f>IF('Enfants'!A10="","",'Enfants'!A10)</f>
        <v/>
      </c>
      <c r="C7" s="76">
        <f>IF('Enfants'!C10="","",'Enfants'!C10)</f>
        <v/>
      </c>
      <c r="D7" s="77" t="n"/>
      <c r="E7" s="77" t="n"/>
      <c r="F7" s="77" t="n"/>
      <c r="G7" s="77" t="n"/>
      <c r="H7" s="77" t="n"/>
      <c r="I7" s="77" t="n"/>
      <c r="J7" s="77" t="n"/>
      <c r="K7" s="77" t="n"/>
      <c r="L7" s="77" t="n"/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6">
        <f>IF('Enfants'!A10="","",COUNTIF(D7:Y7,"V*"))</f>
        <v/>
      </c>
      <c r="AA7" s="76">
        <f>IF('Enfants'!A10="","",COUNTIF(D7:Y7,"Partielle"))</f>
        <v/>
      </c>
      <c r="AB7" s="76">
        <f>IF('Enfants'!A10="","",COUNTIF(D7:Y7,"Rien"))</f>
        <v/>
      </c>
      <c r="AC7" s="76">
        <f>IF(SUMPRODUCT(((D7:X7="Partielle")+(D7:X7="Rien"))*((E7:Y7="Partielle")+(E7:Y7="Rien")))&gt;0,"OUI","")</f>
        <v/>
      </c>
    </row>
    <row r="8">
      <c r="A8" s="75" t="n">
        <v>5</v>
      </c>
      <c r="B8" s="76">
        <f>IF('Enfants'!A11="","",'Enfants'!A11)</f>
        <v/>
      </c>
      <c r="C8" s="76">
        <f>IF('Enfants'!C11="","",'Enfants'!C11)</f>
        <v/>
      </c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6">
        <f>IF('Enfants'!A11="","",COUNTIF(D8:Y8,"V*"))</f>
        <v/>
      </c>
      <c r="AA8" s="76">
        <f>IF('Enfants'!A11="","",COUNTIF(D8:Y8,"Partielle"))</f>
        <v/>
      </c>
      <c r="AB8" s="76">
        <f>IF('Enfants'!A11="","",COUNTIF(D8:Y8,"Rien"))</f>
        <v/>
      </c>
      <c r="AC8" s="76">
        <f>IF(SUMPRODUCT(((D8:X8="Partielle")+(D8:X8="Rien"))*((E8:Y8="Partielle")+(E8:Y8="Rien")))&gt;0,"OUI","")</f>
        <v/>
      </c>
    </row>
    <row r="9">
      <c r="A9" s="75" t="n">
        <v>6</v>
      </c>
      <c r="B9" s="76">
        <f>IF('Enfants'!A12="","",'Enfants'!A12)</f>
        <v/>
      </c>
      <c r="C9" s="76">
        <f>IF('Enfants'!C12="","",'Enfants'!C12)</f>
        <v/>
      </c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6">
        <f>IF('Enfants'!A12="","",COUNTIF(D9:Y9,"V*"))</f>
        <v/>
      </c>
      <c r="AA9" s="76">
        <f>IF('Enfants'!A12="","",COUNTIF(D9:Y9,"Partielle"))</f>
        <v/>
      </c>
      <c r="AB9" s="76">
        <f>IF('Enfants'!A12="","",COUNTIF(D9:Y9,"Rien"))</f>
        <v/>
      </c>
      <c r="AC9" s="76">
        <f>IF(SUMPRODUCT(((D9:X9="Partielle")+(D9:X9="Rien"))*((E9:Y9="Partielle")+(E9:Y9="Rien")))&gt;0,"OUI","")</f>
        <v/>
      </c>
    </row>
    <row r="10">
      <c r="A10" s="75" t="n">
        <v>7</v>
      </c>
      <c r="B10" s="76">
        <f>IF('Enfants'!A13="","",'Enfants'!A13)</f>
        <v/>
      </c>
      <c r="C10" s="76">
        <f>IF('Enfants'!C13="","",'Enfants'!C13)</f>
        <v/>
      </c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6">
        <f>IF('Enfants'!A13="","",COUNTIF(D10:Y10,"V*"))</f>
        <v/>
      </c>
      <c r="AA10" s="76">
        <f>IF('Enfants'!A13="","",COUNTIF(D10:Y10,"Partielle"))</f>
        <v/>
      </c>
      <c r="AB10" s="76">
        <f>IF('Enfants'!A13="","",COUNTIF(D10:Y10,"Rien"))</f>
        <v/>
      </c>
      <c r="AC10" s="76">
        <f>IF(SUMPRODUCT(((D10:X10="Partielle")+(D10:X10="Rien"))*((E10:Y10="Partielle")+(E10:Y10="Rien")))&gt;0,"OUI","")</f>
        <v/>
      </c>
    </row>
    <row r="11">
      <c r="A11" s="75" t="n">
        <v>8</v>
      </c>
      <c r="B11" s="76">
        <f>IF('Enfants'!A14="","",'Enfants'!A14)</f>
        <v/>
      </c>
      <c r="C11" s="76">
        <f>IF('Enfants'!C14="","",'Enfants'!C14)</f>
        <v/>
      </c>
      <c r="D11" s="77" t="n"/>
      <c r="E11" s="77" t="n"/>
      <c r="F11" s="77" t="n"/>
      <c r="G11" s="77" t="n"/>
      <c r="H11" s="77" t="n"/>
      <c r="I11" s="77" t="n"/>
      <c r="J11" s="77" t="n"/>
      <c r="K11" s="77" t="n"/>
      <c r="L11" s="77" t="n"/>
      <c r="M11" s="77" t="n"/>
      <c r="N11" s="77" t="n"/>
      <c r="O11" s="77" t="n"/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6">
        <f>IF('Enfants'!A14="","",COUNTIF(D11:Y11,"V*"))</f>
        <v/>
      </c>
      <c r="AA11" s="76">
        <f>IF('Enfants'!A14="","",COUNTIF(D11:Y11,"Partielle"))</f>
        <v/>
      </c>
      <c r="AB11" s="76">
        <f>IF('Enfants'!A14="","",COUNTIF(D11:Y11,"Rien"))</f>
        <v/>
      </c>
      <c r="AC11" s="76">
        <f>IF(SUMPRODUCT(((D11:X11="Partielle")+(D11:X11="Rien"))*((E11:Y11="Partielle")+(E11:Y11="Rien")))&gt;0,"OUI","")</f>
        <v/>
      </c>
    </row>
    <row r="12">
      <c r="A12" s="75" t="n">
        <v>9</v>
      </c>
      <c r="B12" s="76">
        <f>IF('Enfants'!A15="","",'Enfants'!A15)</f>
        <v/>
      </c>
      <c r="C12" s="76">
        <f>IF('Enfants'!C15="","",'Enfants'!C15)</f>
        <v/>
      </c>
      <c r="D12" s="77" t="n"/>
      <c r="E12" s="77" t="n"/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6">
        <f>IF('Enfants'!A15="","",COUNTIF(D12:Y12,"V*"))</f>
        <v/>
      </c>
      <c r="AA12" s="76">
        <f>IF('Enfants'!A15="","",COUNTIF(D12:Y12,"Partielle"))</f>
        <v/>
      </c>
      <c r="AB12" s="76">
        <f>IF('Enfants'!A15="","",COUNTIF(D12:Y12,"Rien"))</f>
        <v/>
      </c>
      <c r="AC12" s="76">
        <f>IF(SUMPRODUCT(((D12:X12="Partielle")+(D12:X12="Rien"))*((E12:Y12="Partielle")+(E12:Y12="Rien")))&gt;0,"OUI","")</f>
        <v/>
      </c>
    </row>
    <row r="13">
      <c r="A13" s="75" t="n">
        <v>10</v>
      </c>
      <c r="B13" s="76">
        <f>IF('Enfants'!A16="","",'Enfants'!A16)</f>
        <v/>
      </c>
      <c r="C13" s="76">
        <f>IF('Enfants'!C16="","",'Enfants'!C16)</f>
        <v/>
      </c>
      <c r="D13" s="77" t="n"/>
      <c r="E13" s="77" t="n"/>
      <c r="F13" s="77" t="n"/>
      <c r="G13" s="77" t="n"/>
      <c r="H13" s="77" t="n"/>
      <c r="I13" s="77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77" t="n"/>
      <c r="X13" s="77" t="n"/>
      <c r="Y13" s="77" t="n"/>
      <c r="Z13" s="76">
        <f>IF('Enfants'!A16="","",COUNTIF(D13:Y13,"V*"))</f>
        <v/>
      </c>
      <c r="AA13" s="76">
        <f>IF('Enfants'!A16="","",COUNTIF(D13:Y13,"Partielle"))</f>
        <v/>
      </c>
      <c r="AB13" s="76">
        <f>IF('Enfants'!A16="","",COUNTIF(D13:Y13,"Rien"))</f>
        <v/>
      </c>
      <c r="AC13" s="76">
        <f>IF(SUMPRODUCT(((D13:X13="Partielle")+(D13:X13="Rien"))*((E13:Y13="Partielle")+(E13:Y13="Rien")))&gt;0,"OUI","")</f>
        <v/>
      </c>
    </row>
    <row r="14">
      <c r="A14" s="75" t="n">
        <v>11</v>
      </c>
      <c r="B14" s="76">
        <f>IF('Enfants'!A17="","",'Enfants'!A17)</f>
        <v/>
      </c>
      <c r="C14" s="76">
        <f>IF('Enfants'!C17="","",'Enfants'!C17)</f>
        <v/>
      </c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6">
        <f>IF('Enfants'!A17="","",COUNTIF(D14:Y14,"V*"))</f>
        <v/>
      </c>
      <c r="AA14" s="76">
        <f>IF('Enfants'!A17="","",COUNTIF(D14:Y14,"Partielle"))</f>
        <v/>
      </c>
      <c r="AB14" s="76">
        <f>IF('Enfants'!A17="","",COUNTIF(D14:Y14,"Rien"))</f>
        <v/>
      </c>
      <c r="AC14" s="76">
        <f>IF(SUMPRODUCT(((D14:X14="Partielle")+(D14:X14="Rien"))*((E14:Y14="Partielle")+(E14:Y14="Rien")))&gt;0,"OUI","")</f>
        <v/>
      </c>
    </row>
    <row r="15">
      <c r="A15" s="75" t="n">
        <v>12</v>
      </c>
      <c r="B15" s="76">
        <f>IF('Enfants'!A18="","",'Enfants'!A18)</f>
        <v/>
      </c>
      <c r="C15" s="76">
        <f>IF('Enfants'!C18="","",'Enfants'!C18)</f>
        <v/>
      </c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6">
        <f>IF('Enfants'!A18="","",COUNTIF(D15:Y15,"V*"))</f>
        <v/>
      </c>
      <c r="AA15" s="76">
        <f>IF('Enfants'!A18="","",COUNTIF(D15:Y15,"Partielle"))</f>
        <v/>
      </c>
      <c r="AB15" s="76">
        <f>IF('Enfants'!A18="","",COUNTIF(D15:Y15,"Rien"))</f>
        <v/>
      </c>
      <c r="AC15" s="76">
        <f>IF(SUMPRODUCT(((D15:X15="Partielle")+(D15:X15="Rien"))*((E15:Y15="Partielle")+(E15:Y15="Rien")))&gt;0,"OUI","")</f>
        <v/>
      </c>
    </row>
    <row r="16">
      <c r="A16" s="75" t="n">
        <v>13</v>
      </c>
      <c r="B16" s="76">
        <f>IF('Enfants'!A19="","",'Enfants'!A19)</f>
        <v/>
      </c>
      <c r="C16" s="76">
        <f>IF('Enfants'!C19="","",'Enfants'!C19)</f>
        <v/>
      </c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6">
        <f>IF('Enfants'!A19="","",COUNTIF(D16:Y16,"V*"))</f>
        <v/>
      </c>
      <c r="AA16" s="76">
        <f>IF('Enfants'!A19="","",COUNTIF(D16:Y16,"Partielle"))</f>
        <v/>
      </c>
      <c r="AB16" s="76">
        <f>IF('Enfants'!A19="","",COUNTIF(D16:Y16,"Rien"))</f>
        <v/>
      </c>
      <c r="AC16" s="76">
        <f>IF(SUMPRODUCT(((D16:X16="Partielle")+(D16:X16="Rien"))*((E16:Y16="Partielle")+(E16:Y16="Rien")))&gt;0,"OUI","")</f>
        <v/>
      </c>
    </row>
    <row r="17">
      <c r="A17" s="75" t="n">
        <v>14</v>
      </c>
      <c r="B17" s="76">
        <f>IF('Enfants'!A20="","",'Enfants'!A20)</f>
        <v/>
      </c>
      <c r="C17" s="76">
        <f>IF('Enfants'!C20="","",'Enfants'!C20)</f>
        <v/>
      </c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6">
        <f>IF('Enfants'!A20="","",COUNTIF(D17:Y17,"V*"))</f>
        <v/>
      </c>
      <c r="AA17" s="76">
        <f>IF('Enfants'!A20="","",COUNTIF(D17:Y17,"Partielle"))</f>
        <v/>
      </c>
      <c r="AB17" s="76">
        <f>IF('Enfants'!A20="","",COUNTIF(D17:Y17,"Rien"))</f>
        <v/>
      </c>
      <c r="AC17" s="76">
        <f>IF(SUMPRODUCT(((D17:X17="Partielle")+(D17:X17="Rien"))*((E17:Y17="Partielle")+(E17:Y17="Rien")))&gt;0,"OUI","")</f>
        <v/>
      </c>
    </row>
    <row r="18">
      <c r="A18" s="75" t="n">
        <v>15</v>
      </c>
      <c r="B18" s="76">
        <f>IF('Enfants'!A21="","",'Enfants'!A21)</f>
        <v/>
      </c>
      <c r="C18" s="76">
        <f>IF('Enfants'!C21="","",'Enfants'!C21)</f>
        <v/>
      </c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6">
        <f>IF('Enfants'!A21="","",COUNTIF(D18:Y18,"V*"))</f>
        <v/>
      </c>
      <c r="AA18" s="76">
        <f>IF('Enfants'!A21="","",COUNTIF(D18:Y18,"Partielle"))</f>
        <v/>
      </c>
      <c r="AB18" s="76">
        <f>IF('Enfants'!A21="","",COUNTIF(D18:Y18,"Rien"))</f>
        <v/>
      </c>
      <c r="AC18" s="76">
        <f>IF(SUMPRODUCT(((D18:X18="Partielle")+(D18:X18="Rien"))*((E18:Y18="Partielle")+(E18:Y18="Rien")))&gt;0,"OUI","")</f>
        <v/>
      </c>
    </row>
    <row r="19">
      <c r="A19" s="75" t="n">
        <v>16</v>
      </c>
      <c r="B19" s="76">
        <f>IF('Enfants'!A22="","",'Enfants'!A22)</f>
        <v/>
      </c>
      <c r="C19" s="76">
        <f>IF('Enfants'!C22="","",'Enfants'!C22)</f>
        <v/>
      </c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77" t="n"/>
      <c r="Z19" s="76">
        <f>IF('Enfants'!A22="","",COUNTIF(D19:Y19,"V*"))</f>
        <v/>
      </c>
      <c r="AA19" s="76">
        <f>IF('Enfants'!A22="","",COUNTIF(D19:Y19,"Partielle"))</f>
        <v/>
      </c>
      <c r="AB19" s="76">
        <f>IF('Enfants'!A22="","",COUNTIF(D19:Y19,"Rien"))</f>
        <v/>
      </c>
      <c r="AC19" s="76">
        <f>IF(SUMPRODUCT(((D19:X19="Partielle")+(D19:X19="Rien"))*((E19:Y19="Partielle")+(E19:Y19="Rien")))&gt;0,"OUI","")</f>
        <v/>
      </c>
    </row>
    <row r="20">
      <c r="A20" s="75" t="n">
        <v>17</v>
      </c>
      <c r="B20" s="76">
        <f>IF('Enfants'!A23="","",'Enfants'!A23)</f>
        <v/>
      </c>
      <c r="C20" s="76">
        <f>IF('Enfants'!C23="","",'Enfants'!C23)</f>
        <v/>
      </c>
      <c r="D20" s="77" t="n"/>
      <c r="E20" s="77" t="n"/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6">
        <f>IF('Enfants'!A23="","",COUNTIF(D20:Y20,"V*"))</f>
        <v/>
      </c>
      <c r="AA20" s="76">
        <f>IF('Enfants'!A23="","",COUNTIF(D20:Y20,"Partielle"))</f>
        <v/>
      </c>
      <c r="AB20" s="76">
        <f>IF('Enfants'!A23="","",COUNTIF(D20:Y20,"Rien"))</f>
        <v/>
      </c>
      <c r="AC20" s="76">
        <f>IF(SUMPRODUCT(((D20:X20="Partielle")+(D20:X20="Rien"))*((E20:Y20="Partielle")+(E20:Y20="Rien")))&gt;0,"OUI","")</f>
        <v/>
      </c>
    </row>
    <row r="21">
      <c r="A21" s="75" t="n">
        <v>18</v>
      </c>
      <c r="B21" s="76">
        <f>IF('Enfants'!A24="","",'Enfants'!A24)</f>
        <v/>
      </c>
      <c r="C21" s="76">
        <f>IF('Enfants'!C24="","",'Enfants'!C24)</f>
        <v/>
      </c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n"/>
      <c r="X21" s="77" t="n"/>
      <c r="Y21" s="77" t="n"/>
      <c r="Z21" s="76">
        <f>IF('Enfants'!A24="","",COUNTIF(D21:Y21,"V*"))</f>
        <v/>
      </c>
      <c r="AA21" s="76">
        <f>IF('Enfants'!A24="","",COUNTIF(D21:Y21,"Partielle"))</f>
        <v/>
      </c>
      <c r="AB21" s="76">
        <f>IF('Enfants'!A24="","",COUNTIF(D21:Y21,"Rien"))</f>
        <v/>
      </c>
      <c r="AC21" s="76">
        <f>IF(SUMPRODUCT(((D21:X21="Partielle")+(D21:X21="Rien"))*((E21:Y21="Partielle")+(E21:Y21="Rien")))&gt;0,"OUI","")</f>
        <v/>
      </c>
    </row>
    <row r="22">
      <c r="A22" s="75" t="n">
        <v>19</v>
      </c>
      <c r="B22" s="76">
        <f>IF('Enfants'!A25="","",'Enfants'!A25)</f>
        <v/>
      </c>
      <c r="C22" s="76">
        <f>IF('Enfants'!C25="","",'Enfants'!C25)</f>
        <v/>
      </c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6">
        <f>IF('Enfants'!A25="","",COUNTIF(D22:Y22,"V*"))</f>
        <v/>
      </c>
      <c r="AA22" s="76">
        <f>IF('Enfants'!A25="","",COUNTIF(D22:Y22,"Partielle"))</f>
        <v/>
      </c>
      <c r="AB22" s="76">
        <f>IF('Enfants'!A25="","",COUNTIF(D22:Y22,"Rien"))</f>
        <v/>
      </c>
      <c r="AC22" s="76">
        <f>IF(SUMPRODUCT(((D22:X22="Partielle")+(D22:X22="Rien"))*((E22:Y22="Partielle")+(E22:Y22="Rien")))&gt;0,"OUI","")</f>
        <v/>
      </c>
    </row>
    <row r="23">
      <c r="A23" s="75" t="n">
        <v>20</v>
      </c>
      <c r="B23" s="76">
        <f>IF('Enfants'!A26="","",'Enfants'!A26)</f>
        <v/>
      </c>
      <c r="C23" s="76">
        <f>IF('Enfants'!C26="","",'Enfants'!C26)</f>
        <v/>
      </c>
      <c r="D23" s="77" t="n"/>
      <c r="E23" s="77" t="n"/>
      <c r="F23" s="77" t="n"/>
      <c r="G23" s="77" t="n"/>
      <c r="H23" s="77" t="n"/>
      <c r="I23" s="77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n"/>
      <c r="Z23" s="76">
        <f>IF('Enfants'!A26="","",COUNTIF(D23:Y23,"V*"))</f>
        <v/>
      </c>
      <c r="AA23" s="76">
        <f>IF('Enfants'!A26="","",COUNTIF(D23:Y23,"Partielle"))</f>
        <v/>
      </c>
      <c r="AB23" s="76">
        <f>IF('Enfants'!A26="","",COUNTIF(D23:Y23,"Rien"))</f>
        <v/>
      </c>
      <c r="AC23" s="76">
        <f>IF(SUMPRODUCT(((D23:X23="Partielle")+(D23:X23="Rien"))*((E23:Y23="Partielle")+(E23:Y23="Rien")))&gt;0,"OUI","")</f>
        <v/>
      </c>
    </row>
    <row r="24">
      <c r="A24" s="75" t="n">
        <v>21</v>
      </c>
      <c r="B24" s="76">
        <f>IF('Enfants'!A27="","",'Enfants'!A27)</f>
        <v/>
      </c>
      <c r="C24" s="76">
        <f>IF('Enfants'!C27="","",'Enfants'!C27)</f>
        <v/>
      </c>
      <c r="D24" s="77" t="n"/>
      <c r="E24" s="77" t="n"/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6">
        <f>IF('Enfants'!A27="","",COUNTIF(D24:Y24,"V*"))</f>
        <v/>
      </c>
      <c r="AA24" s="76">
        <f>IF('Enfants'!A27="","",COUNTIF(D24:Y24,"Partielle"))</f>
        <v/>
      </c>
      <c r="AB24" s="76">
        <f>IF('Enfants'!A27="","",COUNTIF(D24:Y24,"Rien"))</f>
        <v/>
      </c>
      <c r="AC24" s="76">
        <f>IF(SUMPRODUCT(((D24:X24="Partielle")+(D24:X24="Rien"))*((E24:Y24="Partielle")+(E24:Y24="Rien")))&gt;0,"OUI","")</f>
        <v/>
      </c>
    </row>
    <row r="25">
      <c r="A25" s="75" t="n">
        <v>22</v>
      </c>
      <c r="B25" s="76">
        <f>IF('Enfants'!A28="","",'Enfants'!A28)</f>
        <v/>
      </c>
      <c r="C25" s="76">
        <f>IF('Enfants'!C28="","",'Enfants'!C28)</f>
        <v/>
      </c>
      <c r="D25" s="77" t="n"/>
      <c r="E25" s="77" t="n"/>
      <c r="F25" s="77" t="n"/>
      <c r="G25" s="77" t="n"/>
      <c r="H25" s="77" t="n"/>
      <c r="I25" s="77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n"/>
      <c r="Z25" s="76">
        <f>IF('Enfants'!A28="","",COUNTIF(D25:Y25,"V*"))</f>
        <v/>
      </c>
      <c r="AA25" s="76">
        <f>IF('Enfants'!A28="","",COUNTIF(D25:Y25,"Partielle"))</f>
        <v/>
      </c>
      <c r="AB25" s="76">
        <f>IF('Enfants'!A28="","",COUNTIF(D25:Y25,"Rien"))</f>
        <v/>
      </c>
      <c r="AC25" s="76">
        <f>IF(SUMPRODUCT(((D25:X25="Partielle")+(D25:X25="Rien"))*((E25:Y25="Partielle")+(E25:Y25="Rien")))&gt;0,"OUI","")</f>
        <v/>
      </c>
    </row>
    <row r="26">
      <c r="A26" s="75" t="n">
        <v>23</v>
      </c>
      <c r="B26" s="76">
        <f>IF('Enfants'!A29="","",'Enfants'!A29)</f>
        <v/>
      </c>
      <c r="C26" s="76">
        <f>IF('Enfants'!C29="","",'Enfants'!C29)</f>
        <v/>
      </c>
      <c r="D26" s="77" t="n"/>
      <c r="E26" s="77" t="n"/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6">
        <f>IF('Enfants'!A29="","",COUNTIF(D26:Y26,"V*"))</f>
        <v/>
      </c>
      <c r="AA26" s="76">
        <f>IF('Enfants'!A29="","",COUNTIF(D26:Y26,"Partielle"))</f>
        <v/>
      </c>
      <c r="AB26" s="76">
        <f>IF('Enfants'!A29="","",COUNTIF(D26:Y26,"Rien"))</f>
        <v/>
      </c>
      <c r="AC26" s="76">
        <f>IF(SUMPRODUCT(((D26:X26="Partielle")+(D26:X26="Rien"))*((E26:Y26="Partielle")+(E26:Y26="Rien")))&gt;0,"OUI","")</f>
        <v/>
      </c>
    </row>
    <row r="27">
      <c r="A27" s="75" t="n">
        <v>24</v>
      </c>
      <c r="B27" s="76">
        <f>IF('Enfants'!A30="","",'Enfants'!A30)</f>
        <v/>
      </c>
      <c r="C27" s="76">
        <f>IF('Enfants'!C30="","",'Enfants'!C30)</f>
        <v/>
      </c>
      <c r="D27" s="77" t="n"/>
      <c r="E27" s="77" t="n"/>
      <c r="F27" s="77" t="n"/>
      <c r="G27" s="77" t="n"/>
      <c r="H27" s="77" t="n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6">
        <f>IF('Enfants'!A30="","",COUNTIF(D27:Y27,"V*"))</f>
        <v/>
      </c>
      <c r="AA27" s="76">
        <f>IF('Enfants'!A30="","",COUNTIF(D27:Y27,"Partielle"))</f>
        <v/>
      </c>
      <c r="AB27" s="76">
        <f>IF('Enfants'!A30="","",COUNTIF(D27:Y27,"Rien"))</f>
        <v/>
      </c>
      <c r="AC27" s="76">
        <f>IF(SUMPRODUCT(((D27:X27="Partielle")+(D27:X27="Rien"))*((E27:Y27="Partielle")+(E27:Y27="Rien")))&gt;0,"OUI","")</f>
        <v/>
      </c>
    </row>
    <row r="28">
      <c r="A28" s="75" t="n">
        <v>25</v>
      </c>
      <c r="B28" s="76">
        <f>IF('Enfants'!A31="","",'Enfants'!A31)</f>
        <v/>
      </c>
      <c r="C28" s="76">
        <f>IF('Enfants'!C31="","",'Enfants'!C31)</f>
        <v/>
      </c>
      <c r="D28" s="77" t="n"/>
      <c r="E28" s="77" t="n"/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6">
        <f>IF('Enfants'!A31="","",COUNTIF(D28:Y28,"V*"))</f>
        <v/>
      </c>
      <c r="AA28" s="76">
        <f>IF('Enfants'!A31="","",COUNTIF(D28:Y28,"Partielle"))</f>
        <v/>
      </c>
      <c r="AB28" s="76">
        <f>IF('Enfants'!A31="","",COUNTIF(D28:Y28,"Rien"))</f>
        <v/>
      </c>
      <c r="AC28" s="76">
        <f>IF(SUMPRODUCT(((D28:X28="Partielle")+(D28:X28="Rien"))*((E28:Y28="Partielle")+(E28:Y28="Rien")))&gt;0,"OUI","")</f>
        <v/>
      </c>
    </row>
    <row r="29">
      <c r="A29" s="75" t="n">
        <v>26</v>
      </c>
      <c r="B29" s="76">
        <f>IF('Enfants'!A32="","",'Enfants'!A32)</f>
        <v/>
      </c>
      <c r="C29" s="76">
        <f>IF('Enfants'!C32="","",'Enfants'!C32)</f>
        <v/>
      </c>
      <c r="D29" s="77" t="n"/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6">
        <f>IF('Enfants'!A32="","",COUNTIF(D29:Y29,"V*"))</f>
        <v/>
      </c>
      <c r="AA29" s="76">
        <f>IF('Enfants'!A32="","",COUNTIF(D29:Y29,"Partielle"))</f>
        <v/>
      </c>
      <c r="AB29" s="76">
        <f>IF('Enfants'!A32="","",COUNTIF(D29:Y29,"Rien"))</f>
        <v/>
      </c>
      <c r="AC29" s="76">
        <f>IF(SUMPRODUCT(((D29:X29="Partielle")+(D29:X29="Rien"))*((E29:Y29="Partielle")+(E29:Y29="Rien")))&gt;0,"OUI","")</f>
        <v/>
      </c>
    </row>
    <row r="30">
      <c r="A30" s="75" t="n">
        <v>27</v>
      </c>
      <c r="B30" s="76">
        <f>IF('Enfants'!A33="","",'Enfants'!A33)</f>
        <v/>
      </c>
      <c r="C30" s="76">
        <f>IF('Enfants'!C33="","",'Enfants'!C33)</f>
        <v/>
      </c>
      <c r="D30" s="77" t="n"/>
      <c r="E30" s="77" t="n"/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6">
        <f>IF('Enfants'!A33="","",COUNTIF(D30:Y30,"V*"))</f>
        <v/>
      </c>
      <c r="AA30" s="76">
        <f>IF('Enfants'!A33="","",COUNTIF(D30:Y30,"Partielle"))</f>
        <v/>
      </c>
      <c r="AB30" s="76">
        <f>IF('Enfants'!A33="","",COUNTIF(D30:Y30,"Rien"))</f>
        <v/>
      </c>
      <c r="AC30" s="76">
        <f>IF(SUMPRODUCT(((D30:X30="Partielle")+(D30:X30="Rien"))*((E30:Y30="Partielle")+(E30:Y30="Rien")))&gt;0,"OUI","")</f>
        <v/>
      </c>
    </row>
    <row r="31">
      <c r="A31" s="75" t="n">
        <v>28</v>
      </c>
      <c r="B31" s="76">
        <f>IF('Enfants'!A34="","",'Enfants'!A34)</f>
        <v/>
      </c>
      <c r="C31" s="76">
        <f>IF('Enfants'!C34="","",'Enfants'!C34)</f>
        <v/>
      </c>
      <c r="D31" s="77" t="n"/>
      <c r="E31" s="77" t="n"/>
      <c r="F31" s="77" t="n"/>
      <c r="G31" s="77" t="n"/>
      <c r="H31" s="77" t="n"/>
      <c r="I31" s="77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6">
        <f>IF('Enfants'!A34="","",COUNTIF(D31:Y31,"V*"))</f>
        <v/>
      </c>
      <c r="AA31" s="76">
        <f>IF('Enfants'!A34="","",COUNTIF(D31:Y31,"Partielle"))</f>
        <v/>
      </c>
      <c r="AB31" s="76">
        <f>IF('Enfants'!A34="","",COUNTIF(D31:Y31,"Rien"))</f>
        <v/>
      </c>
      <c r="AC31" s="76">
        <f>IF(SUMPRODUCT(((D31:X31="Partielle")+(D31:X31="Rien"))*((E31:Y31="Partielle")+(E31:Y31="Rien")))&gt;0,"OUI","")</f>
        <v/>
      </c>
    </row>
    <row r="32">
      <c r="A32" s="75" t="n">
        <v>29</v>
      </c>
      <c r="B32" s="76">
        <f>IF('Enfants'!A35="","",'Enfants'!A35)</f>
        <v/>
      </c>
      <c r="C32" s="76">
        <f>IF('Enfants'!C35="","",'Enfants'!C35)</f>
        <v/>
      </c>
      <c r="D32" s="77" t="n"/>
      <c r="E32" s="77" t="n"/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6">
        <f>IF('Enfants'!A35="","",COUNTIF(D32:Y32,"V*"))</f>
        <v/>
      </c>
      <c r="AA32" s="76">
        <f>IF('Enfants'!A35="","",COUNTIF(D32:Y32,"Partielle"))</f>
        <v/>
      </c>
      <c r="AB32" s="76">
        <f>IF('Enfants'!A35="","",COUNTIF(D32:Y32,"Rien"))</f>
        <v/>
      </c>
      <c r="AC32" s="76">
        <f>IF(SUMPRODUCT(((D32:X32="Partielle")+(D32:X32="Rien"))*((E32:Y32="Partielle")+(E32:Y32="Rien")))&gt;0,"OUI","")</f>
        <v/>
      </c>
    </row>
    <row r="33">
      <c r="A33" s="75" t="n">
        <v>30</v>
      </c>
      <c r="B33" s="76">
        <f>IF('Enfants'!A36="","",'Enfants'!A36)</f>
        <v/>
      </c>
      <c r="C33" s="76">
        <f>IF('Enfants'!C36="","",'Enfants'!C36)</f>
        <v/>
      </c>
      <c r="D33" s="77" t="n"/>
      <c r="E33" s="77" t="n"/>
      <c r="F33" s="77" t="n"/>
      <c r="G33" s="77" t="n"/>
      <c r="H33" s="77" t="n"/>
      <c r="I33" s="77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6">
        <f>IF('Enfants'!A36="","",COUNTIF(D33:Y33,"V*"))</f>
        <v/>
      </c>
      <c r="AA33" s="76">
        <f>IF('Enfants'!A36="","",COUNTIF(D33:Y33,"Partielle"))</f>
        <v/>
      </c>
      <c r="AB33" s="76">
        <f>IF('Enfants'!A36="","",COUNTIF(D33:Y33,"Rien"))</f>
        <v/>
      </c>
      <c r="AC33" s="76">
        <f>IF(SUMPRODUCT(((D33:X33="Partielle")+(D33:X33="Rien"))*((E33:Y33="Partielle")+(E33:Y33="Rien")))&gt;0,"OUI","")</f>
        <v/>
      </c>
    </row>
    <row r="34">
      <c r="A34" s="75" t="n">
        <v>31</v>
      </c>
      <c r="B34" s="76">
        <f>IF('Enfants'!A37="","",'Enfants'!A37)</f>
        <v/>
      </c>
      <c r="C34" s="76">
        <f>IF('Enfants'!C37="","",'Enfants'!C37)</f>
        <v/>
      </c>
      <c r="D34" s="77" t="n"/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6">
        <f>IF('Enfants'!A37="","",COUNTIF(D34:Y34,"V*"))</f>
        <v/>
      </c>
      <c r="AA34" s="76">
        <f>IF('Enfants'!A37="","",COUNTIF(D34:Y34,"Partielle"))</f>
        <v/>
      </c>
      <c r="AB34" s="76">
        <f>IF('Enfants'!A37="","",COUNTIF(D34:Y34,"Rien"))</f>
        <v/>
      </c>
      <c r="AC34" s="76">
        <f>IF(SUMPRODUCT(((D34:X34="Partielle")+(D34:X34="Rien"))*((E34:Y34="Partielle")+(E34:Y34="Rien")))&gt;0,"OUI","")</f>
        <v/>
      </c>
    </row>
    <row r="35">
      <c r="A35" s="75" t="n">
        <v>32</v>
      </c>
      <c r="B35" s="76">
        <f>IF('Enfants'!A38="","",'Enfants'!A38)</f>
        <v/>
      </c>
      <c r="C35" s="76">
        <f>IF('Enfants'!C38="","",'Enfants'!C38)</f>
        <v/>
      </c>
      <c r="D35" s="77" t="n"/>
      <c r="E35" s="77" t="n"/>
      <c r="F35" s="77" t="n"/>
      <c r="G35" s="77" t="n"/>
      <c r="H35" s="77" t="n"/>
      <c r="I35" s="77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6">
        <f>IF('Enfants'!A38="","",COUNTIF(D35:Y35,"V*"))</f>
        <v/>
      </c>
      <c r="AA35" s="76">
        <f>IF('Enfants'!A38="","",COUNTIF(D35:Y35,"Partielle"))</f>
        <v/>
      </c>
      <c r="AB35" s="76">
        <f>IF('Enfants'!A38="","",COUNTIF(D35:Y35,"Rien"))</f>
        <v/>
      </c>
      <c r="AC35" s="76">
        <f>IF(SUMPRODUCT(((D35:X35="Partielle")+(D35:X35="Rien"))*((E35:Y35="Partielle")+(E35:Y35="Rien")))&gt;0,"OUI","")</f>
        <v/>
      </c>
    </row>
    <row r="36">
      <c r="A36" s="75" t="n">
        <v>33</v>
      </c>
      <c r="B36" s="76">
        <f>IF('Enfants'!A39="","",'Enfants'!A39)</f>
        <v/>
      </c>
      <c r="C36" s="76">
        <f>IF('Enfants'!C39="","",'Enfants'!C39)</f>
        <v/>
      </c>
      <c r="D36" s="77" t="n"/>
      <c r="E36" s="77" t="n"/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6">
        <f>IF('Enfants'!A39="","",COUNTIF(D36:Y36,"V*"))</f>
        <v/>
      </c>
      <c r="AA36" s="76">
        <f>IF('Enfants'!A39="","",COUNTIF(D36:Y36,"Partielle"))</f>
        <v/>
      </c>
      <c r="AB36" s="76">
        <f>IF('Enfants'!A39="","",COUNTIF(D36:Y36,"Rien"))</f>
        <v/>
      </c>
      <c r="AC36" s="76">
        <f>IF(SUMPRODUCT(((D36:X36="Partielle")+(D36:X36="Rien"))*((E36:Y36="Partielle")+(E36:Y36="Rien")))&gt;0,"OUI","")</f>
        <v/>
      </c>
    </row>
    <row r="37">
      <c r="A37" s="75" t="n">
        <v>34</v>
      </c>
      <c r="B37" s="76">
        <f>IF('Enfants'!A40="","",'Enfants'!A40)</f>
        <v/>
      </c>
      <c r="C37" s="76">
        <f>IF('Enfants'!C40="","",'Enfants'!C40)</f>
        <v/>
      </c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6">
        <f>IF('Enfants'!A40="","",COUNTIF(D37:Y37,"V*"))</f>
        <v/>
      </c>
      <c r="AA37" s="76">
        <f>IF('Enfants'!A40="","",COUNTIF(D37:Y37,"Partielle"))</f>
        <v/>
      </c>
      <c r="AB37" s="76">
        <f>IF('Enfants'!A40="","",COUNTIF(D37:Y37,"Rien"))</f>
        <v/>
      </c>
      <c r="AC37" s="76">
        <f>IF(SUMPRODUCT(((D37:X37="Partielle")+(D37:X37="Rien"))*((E37:Y37="Partielle")+(E37:Y37="Rien")))&gt;0,"OUI","")</f>
        <v/>
      </c>
    </row>
    <row r="38">
      <c r="A38" s="75" t="n">
        <v>35</v>
      </c>
      <c r="B38" s="76">
        <f>IF('Enfants'!A41="","",'Enfants'!A41)</f>
        <v/>
      </c>
      <c r="C38" s="76">
        <f>IF('Enfants'!C41="","",'Enfants'!C41)</f>
        <v/>
      </c>
      <c r="D38" s="77" t="n"/>
      <c r="E38" s="77" t="n"/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6">
        <f>IF('Enfants'!A41="","",COUNTIF(D38:Y38,"V*"))</f>
        <v/>
      </c>
      <c r="AA38" s="76">
        <f>IF('Enfants'!A41="","",COUNTIF(D38:Y38,"Partielle"))</f>
        <v/>
      </c>
      <c r="AB38" s="76">
        <f>IF('Enfants'!A41="","",COUNTIF(D38:Y38,"Rien"))</f>
        <v/>
      </c>
      <c r="AC38" s="76">
        <f>IF(SUMPRODUCT(((D38:X38="Partielle")+(D38:X38="Rien"))*((E38:Y38="Partielle")+(E38:Y38="Rien")))&gt;0,"OUI","")</f>
        <v/>
      </c>
    </row>
    <row r="39">
      <c r="A39" s="75" t="n">
        <v>36</v>
      </c>
      <c r="B39" s="76">
        <f>IF('Enfants'!A42="","",'Enfants'!A42)</f>
        <v/>
      </c>
      <c r="C39" s="76">
        <f>IF('Enfants'!C42="","",'Enfants'!C42)</f>
        <v/>
      </c>
      <c r="D39" s="77" t="n"/>
      <c r="E39" s="77" t="n"/>
      <c r="F39" s="77" t="n"/>
      <c r="G39" s="77" t="n"/>
      <c r="H39" s="77" t="n"/>
      <c r="I39" s="77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6">
        <f>IF('Enfants'!A42="","",COUNTIF(D39:Y39,"V*"))</f>
        <v/>
      </c>
      <c r="AA39" s="76">
        <f>IF('Enfants'!A42="","",COUNTIF(D39:Y39,"Partielle"))</f>
        <v/>
      </c>
      <c r="AB39" s="76">
        <f>IF('Enfants'!A42="","",COUNTIF(D39:Y39,"Rien"))</f>
        <v/>
      </c>
      <c r="AC39" s="76">
        <f>IF(SUMPRODUCT(((D39:X39="Partielle")+(D39:X39="Rien"))*((E39:Y39="Partielle")+(E39:Y39="Rien")))&gt;0,"OUI","")</f>
        <v/>
      </c>
    </row>
    <row r="40">
      <c r="A40" s="75" t="n">
        <v>37</v>
      </c>
      <c r="B40" s="76">
        <f>IF('Enfants'!A43="","",'Enfants'!A43)</f>
        <v/>
      </c>
      <c r="C40" s="76">
        <f>IF('Enfants'!C43="","",'Enfants'!C43)</f>
        <v/>
      </c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6">
        <f>IF('Enfants'!A43="","",COUNTIF(D40:Y40,"V*"))</f>
        <v/>
      </c>
      <c r="AA40" s="76">
        <f>IF('Enfants'!A43="","",COUNTIF(D40:Y40,"Partielle"))</f>
        <v/>
      </c>
      <c r="AB40" s="76">
        <f>IF('Enfants'!A43="","",COUNTIF(D40:Y40,"Rien"))</f>
        <v/>
      </c>
      <c r="AC40" s="76">
        <f>IF(SUMPRODUCT(((D40:X40="Partielle")+(D40:X40="Rien"))*((E40:Y40="Partielle")+(E40:Y40="Rien")))&gt;0,"OUI","")</f>
        <v/>
      </c>
    </row>
    <row r="41">
      <c r="A41" s="75" t="n">
        <v>38</v>
      </c>
      <c r="B41" s="76">
        <f>IF('Enfants'!A44="","",'Enfants'!A44)</f>
        <v/>
      </c>
      <c r="C41" s="76">
        <f>IF('Enfants'!C44="","",'Enfants'!C44)</f>
        <v/>
      </c>
      <c r="D41" s="77" t="n"/>
      <c r="E41" s="77" t="n"/>
      <c r="F41" s="77" t="n"/>
      <c r="G41" s="77" t="n"/>
      <c r="H41" s="77" t="n"/>
      <c r="I41" s="77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6">
        <f>IF('Enfants'!A44="","",COUNTIF(D41:Y41,"V*"))</f>
        <v/>
      </c>
      <c r="AA41" s="76">
        <f>IF('Enfants'!A44="","",COUNTIF(D41:Y41,"Partielle"))</f>
        <v/>
      </c>
      <c r="AB41" s="76">
        <f>IF('Enfants'!A44="","",COUNTIF(D41:Y41,"Rien"))</f>
        <v/>
      </c>
      <c r="AC41" s="76">
        <f>IF(SUMPRODUCT(((D41:X41="Partielle")+(D41:X41="Rien"))*((E41:Y41="Partielle")+(E41:Y41="Rien")))&gt;0,"OUI","")</f>
        <v/>
      </c>
    </row>
    <row r="42">
      <c r="A42" s="75" t="n">
        <v>39</v>
      </c>
      <c r="B42" s="76">
        <f>IF('Enfants'!A45="","",'Enfants'!A45)</f>
        <v/>
      </c>
      <c r="C42" s="76">
        <f>IF('Enfants'!C45="","",'Enfants'!C45)</f>
        <v/>
      </c>
      <c r="D42" s="77" t="n"/>
      <c r="E42" s="77" t="n"/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6">
        <f>IF('Enfants'!A45="","",COUNTIF(D42:Y42,"V*"))</f>
        <v/>
      </c>
      <c r="AA42" s="76">
        <f>IF('Enfants'!A45="","",COUNTIF(D42:Y42,"Partielle"))</f>
        <v/>
      </c>
      <c r="AB42" s="76">
        <f>IF('Enfants'!A45="","",COUNTIF(D42:Y42,"Rien"))</f>
        <v/>
      </c>
      <c r="AC42" s="76">
        <f>IF(SUMPRODUCT(((D42:X42="Partielle")+(D42:X42="Rien"))*((E42:Y42="Partielle")+(E42:Y42="Rien")))&gt;0,"OUI","")</f>
        <v/>
      </c>
    </row>
    <row r="43">
      <c r="A43" s="75" t="n">
        <v>40</v>
      </c>
      <c r="B43" s="76">
        <f>IF('Enfants'!A46="","",'Enfants'!A46)</f>
        <v/>
      </c>
      <c r="C43" s="76">
        <f>IF('Enfants'!C46="","",'Enfants'!C46)</f>
        <v/>
      </c>
      <c r="D43" s="77" t="n"/>
      <c r="E43" s="77" t="n"/>
      <c r="F43" s="77" t="n"/>
      <c r="G43" s="77" t="n"/>
      <c r="H43" s="77" t="n"/>
      <c r="I43" s="77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6">
        <f>IF('Enfants'!A46="","",COUNTIF(D43:Y43,"V*"))</f>
        <v/>
      </c>
      <c r="AA43" s="76">
        <f>IF('Enfants'!A46="","",COUNTIF(D43:Y43,"Partielle"))</f>
        <v/>
      </c>
      <c r="AB43" s="76">
        <f>IF('Enfants'!A46="","",COUNTIF(D43:Y43,"Rien"))</f>
        <v/>
      </c>
      <c r="AC43" s="76">
        <f>IF(SUMPRODUCT(((D43:X43="Partielle")+(D43:X43="Rien"))*((E43:Y43="Partielle")+(E43:Y43="Rien")))&gt;0,"OUI","")</f>
        <v/>
      </c>
    </row>
  </sheetData>
  <mergeCells count="2">
    <mergeCell ref="A2:AC2"/>
    <mergeCell ref="A1:AC1"/>
  </mergeCells>
  <conditionalFormatting sqref="AC4:AC43">
    <cfRule type="cellIs" priority="1" operator="equal" dxfId="6">
      <formula>"OUI"</formula>
    </cfRule>
  </conditionalFormatting>
  <dataValidations count="1">
    <dataValidation sqref="D4:Y43" showDropDown="0" showInputMessage="0" showErrorMessage="0" allowBlank="1" errorTitle="Valeur non prevue" error="Choisissez une valeur dans la liste." type="list">
      <formula1>"V-Bleue,V-Rouge,V-Noire,Partielle,Rien"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3" min="1" max="1"/>
    <col width="9" customWidth="1" style="23" min="2" max="2"/>
    <col width="17" customWidth="1" style="23" min="3" max="3"/>
    <col width="26" customWidth="1" style="23" min="4" max="4"/>
    <col width="15" customWidth="1" style="23" min="5" max="5"/>
    <col width="46" customWidth="1" style="23" min="6" max="6"/>
    <col width="40" customWidth="1" style="23" min="7" max="7"/>
    <col width="12" customWidth="1" style="23" min="8" max="8"/>
    <col width="11" customWidth="1" style="23" min="9" max="9"/>
  </cols>
  <sheetData>
    <row r="1" ht="26" customHeight="1" s="23">
      <c r="A1" s="52" t="inlineStr">
        <is>
          <t>JOURNAL DES OBSERVATIONS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</row>
    <row r="2" ht="30" customHeight="1" s="23">
      <c r="A2" s="57" t="inlineStr">
        <is>
          <t>Une ligne par fait marquant. À écrire le soir même : on oublie très vite. Une observation sans action décidée ne sert à rien.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 ht="32" customHeight="1" s="23">
      <c r="A3" s="74" t="inlineStr">
        <is>
          <t>Date</t>
        </is>
      </c>
      <c r="B3" s="74" t="inlineStr">
        <is>
          <t>Séance</t>
        </is>
      </c>
      <c r="C3" s="74" t="inlineStr">
        <is>
          <t>Classe</t>
        </is>
      </c>
      <c r="D3" s="74" t="inlineStr">
        <is>
          <t>Élève</t>
        </is>
      </c>
      <c r="E3" s="74" t="inlineStr">
        <is>
          <t>Type</t>
        </is>
      </c>
      <c r="F3" s="74" t="inlineStr">
        <is>
          <t>Ce que j'ai observé</t>
        </is>
      </c>
      <c r="G3" s="74" t="inlineStr">
        <is>
          <t>Action décidée</t>
        </is>
      </c>
      <c r="H3" s="74" t="inlineStr">
        <is>
          <t>Pour quand</t>
        </is>
      </c>
      <c r="I3" s="74" t="inlineStr">
        <is>
          <t>Fait ?</t>
        </is>
      </c>
    </row>
    <row r="4">
      <c r="A4" s="81" t="n"/>
      <c r="B4" s="82" t="n"/>
      <c r="C4" s="82" t="n"/>
      <c r="D4" s="82" t="n"/>
      <c r="E4" s="82" t="n"/>
      <c r="F4" s="82" t="n"/>
      <c r="G4" s="82" t="n"/>
      <c r="H4" s="82" t="n"/>
      <c r="I4" s="82" t="n"/>
    </row>
    <row r="5">
      <c r="A5" s="81" t="n"/>
      <c r="B5" s="82" t="n"/>
      <c r="C5" s="82" t="n"/>
      <c r="D5" s="82" t="n"/>
      <c r="E5" s="82" t="n"/>
      <c r="F5" s="82" t="n"/>
      <c r="G5" s="82" t="n"/>
      <c r="H5" s="82" t="n"/>
      <c r="I5" s="82" t="n"/>
    </row>
    <row r="6">
      <c r="A6" s="81" t="n"/>
      <c r="B6" s="82" t="n"/>
      <c r="C6" s="82" t="n"/>
      <c r="D6" s="82" t="n"/>
      <c r="E6" s="82" t="n"/>
      <c r="F6" s="82" t="n"/>
      <c r="G6" s="82" t="n"/>
      <c r="H6" s="82" t="n"/>
      <c r="I6" s="82" t="n"/>
    </row>
    <row r="7">
      <c r="A7" s="81" t="n"/>
      <c r="B7" s="82" t="n"/>
      <c r="C7" s="82" t="n"/>
      <c r="D7" s="82" t="n"/>
      <c r="E7" s="82" t="n"/>
      <c r="F7" s="82" t="n"/>
      <c r="G7" s="82" t="n"/>
      <c r="H7" s="82" t="n"/>
      <c r="I7" s="82" t="n"/>
    </row>
    <row r="8">
      <c r="A8" s="81" t="n"/>
      <c r="B8" s="82" t="n"/>
      <c r="C8" s="82" t="n"/>
      <c r="D8" s="82" t="n"/>
      <c r="E8" s="82" t="n"/>
      <c r="F8" s="82" t="n"/>
      <c r="G8" s="82" t="n"/>
      <c r="H8" s="82" t="n"/>
      <c r="I8" s="82" t="n"/>
    </row>
    <row r="9">
      <c r="A9" s="81" t="n"/>
      <c r="B9" s="82" t="n"/>
      <c r="C9" s="82" t="n"/>
      <c r="D9" s="82" t="n"/>
      <c r="E9" s="82" t="n"/>
      <c r="F9" s="82" t="n"/>
      <c r="G9" s="82" t="n"/>
      <c r="H9" s="82" t="n"/>
      <c r="I9" s="82" t="n"/>
    </row>
    <row r="10">
      <c r="A10" s="81" t="n"/>
      <c r="B10" s="82" t="n"/>
      <c r="C10" s="82" t="n"/>
      <c r="D10" s="82" t="n"/>
      <c r="E10" s="82" t="n"/>
      <c r="F10" s="82" t="n"/>
      <c r="G10" s="82" t="n"/>
      <c r="H10" s="82" t="n"/>
      <c r="I10" s="82" t="n"/>
    </row>
    <row r="11">
      <c r="A11" s="81" t="n"/>
      <c r="B11" s="82" t="n"/>
      <c r="C11" s="82" t="n"/>
      <c r="D11" s="82" t="n"/>
      <c r="E11" s="82" t="n"/>
      <c r="F11" s="82" t="n"/>
      <c r="G11" s="82" t="n"/>
      <c r="H11" s="82" t="n"/>
      <c r="I11" s="82" t="n"/>
    </row>
    <row r="12">
      <c r="A12" s="81" t="n"/>
      <c r="B12" s="82" t="n"/>
      <c r="C12" s="82" t="n"/>
      <c r="D12" s="82" t="n"/>
      <c r="E12" s="82" t="n"/>
      <c r="F12" s="82" t="n"/>
      <c r="G12" s="82" t="n"/>
      <c r="H12" s="82" t="n"/>
      <c r="I12" s="82" t="n"/>
    </row>
    <row r="13">
      <c r="A13" s="81" t="n"/>
      <c r="B13" s="82" t="n"/>
      <c r="C13" s="82" t="n"/>
      <c r="D13" s="82" t="n"/>
      <c r="E13" s="82" t="n"/>
      <c r="F13" s="82" t="n"/>
      <c r="G13" s="82" t="n"/>
      <c r="H13" s="82" t="n"/>
      <c r="I13" s="82" t="n"/>
    </row>
    <row r="14">
      <c r="A14" s="81" t="n"/>
      <c r="B14" s="82" t="n"/>
      <c r="C14" s="82" t="n"/>
      <c r="D14" s="82" t="n"/>
      <c r="E14" s="82" t="n"/>
      <c r="F14" s="82" t="n"/>
      <c r="G14" s="82" t="n"/>
      <c r="H14" s="82" t="n"/>
      <c r="I14" s="82" t="n"/>
    </row>
    <row r="15">
      <c r="A15" s="81" t="n"/>
      <c r="B15" s="82" t="n"/>
      <c r="C15" s="82" t="n"/>
      <c r="D15" s="82" t="n"/>
      <c r="E15" s="82" t="n"/>
      <c r="F15" s="82" t="n"/>
      <c r="G15" s="82" t="n"/>
      <c r="H15" s="82" t="n"/>
      <c r="I15" s="82" t="n"/>
    </row>
    <row r="16">
      <c r="A16" s="81" t="n"/>
      <c r="B16" s="82" t="n"/>
      <c r="C16" s="82" t="n"/>
      <c r="D16" s="82" t="n"/>
      <c r="E16" s="82" t="n"/>
      <c r="F16" s="82" t="n"/>
      <c r="G16" s="82" t="n"/>
      <c r="H16" s="82" t="n"/>
      <c r="I16" s="82" t="n"/>
    </row>
    <row r="17">
      <c r="A17" s="81" t="n"/>
      <c r="B17" s="82" t="n"/>
      <c r="C17" s="82" t="n"/>
      <c r="D17" s="82" t="n"/>
      <c r="E17" s="82" t="n"/>
      <c r="F17" s="82" t="n"/>
      <c r="G17" s="82" t="n"/>
      <c r="H17" s="82" t="n"/>
      <c r="I17" s="82" t="n"/>
    </row>
    <row r="18">
      <c r="A18" s="81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>
      <c r="A19" s="81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>
      <c r="A20" s="81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>
      <c r="A21" s="81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>
      <c r="A22" s="81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>
      <c r="A23" s="81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>
      <c r="A24" s="81" t="n"/>
      <c r="B24" s="82" t="n"/>
      <c r="C24" s="82" t="n"/>
      <c r="D24" s="82" t="n"/>
      <c r="E24" s="82" t="n"/>
      <c r="F24" s="82" t="n"/>
      <c r="G24" s="82" t="n"/>
      <c r="H24" s="82" t="n"/>
      <c r="I24" s="82" t="n"/>
    </row>
    <row r="25">
      <c r="A25" s="81" t="n"/>
      <c r="B25" s="82" t="n"/>
      <c r="C25" s="82" t="n"/>
      <c r="D25" s="82" t="n"/>
      <c r="E25" s="82" t="n"/>
      <c r="F25" s="82" t="n"/>
      <c r="G25" s="82" t="n"/>
      <c r="H25" s="82" t="n"/>
      <c r="I25" s="82" t="n"/>
    </row>
    <row r="26">
      <c r="A26" s="81" t="n"/>
      <c r="B26" s="82" t="n"/>
      <c r="C26" s="82" t="n"/>
      <c r="D26" s="82" t="n"/>
      <c r="E26" s="82" t="n"/>
      <c r="F26" s="82" t="n"/>
      <c r="G26" s="82" t="n"/>
      <c r="H26" s="82" t="n"/>
      <c r="I26" s="82" t="n"/>
    </row>
    <row r="27">
      <c r="A27" s="81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>
      <c r="A28" s="81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>
      <c r="A29" s="81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>
      <c r="A30" s="81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>
      <c r="A31" s="81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>
      <c r="A32" s="81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>
      <c r="A33" s="81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>
      <c r="A34" s="81" t="n"/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>
      <c r="A35" s="81" t="n"/>
      <c r="B35" s="82" t="n"/>
      <c r="C35" s="82" t="n"/>
      <c r="D35" s="82" t="n"/>
      <c r="E35" s="82" t="n"/>
      <c r="F35" s="82" t="n"/>
      <c r="G35" s="82" t="n"/>
      <c r="H35" s="82" t="n"/>
      <c r="I35" s="82" t="n"/>
    </row>
    <row r="36">
      <c r="A36" s="81" t="n"/>
      <c r="B36" s="82" t="n"/>
      <c r="C36" s="82" t="n"/>
      <c r="D36" s="82" t="n"/>
      <c r="E36" s="82" t="n"/>
      <c r="F36" s="82" t="n"/>
      <c r="G36" s="82" t="n"/>
      <c r="H36" s="82" t="n"/>
      <c r="I36" s="82" t="n"/>
    </row>
    <row r="37">
      <c r="A37" s="81" t="n"/>
      <c r="B37" s="82" t="n"/>
      <c r="C37" s="82" t="n"/>
      <c r="D37" s="82" t="n"/>
      <c r="E37" s="82" t="n"/>
      <c r="F37" s="82" t="n"/>
      <c r="G37" s="82" t="n"/>
      <c r="H37" s="82" t="n"/>
      <c r="I37" s="82" t="n"/>
    </row>
    <row r="38">
      <c r="A38" s="81" t="n"/>
      <c r="B38" s="82" t="n"/>
      <c r="C38" s="82" t="n"/>
      <c r="D38" s="82" t="n"/>
      <c r="E38" s="82" t="n"/>
      <c r="F38" s="82" t="n"/>
      <c r="G38" s="82" t="n"/>
      <c r="H38" s="82" t="n"/>
      <c r="I38" s="82" t="n"/>
    </row>
    <row r="39">
      <c r="A39" s="81" t="n"/>
      <c r="B39" s="82" t="n"/>
      <c r="C39" s="82" t="n"/>
      <c r="D39" s="82" t="n"/>
      <c r="E39" s="82" t="n"/>
      <c r="F39" s="82" t="n"/>
      <c r="G39" s="82" t="n"/>
      <c r="H39" s="82" t="n"/>
      <c r="I39" s="82" t="n"/>
    </row>
    <row r="40">
      <c r="A40" s="81" t="n"/>
      <c r="B40" s="82" t="n"/>
      <c r="C40" s="82" t="n"/>
      <c r="D40" s="82" t="n"/>
      <c r="E40" s="82" t="n"/>
      <c r="F40" s="82" t="n"/>
      <c r="G40" s="82" t="n"/>
      <c r="H40" s="82" t="n"/>
      <c r="I40" s="82" t="n"/>
    </row>
    <row r="41">
      <c r="A41" s="81" t="n"/>
      <c r="B41" s="82" t="n"/>
      <c r="C41" s="82" t="n"/>
      <c r="D41" s="82" t="n"/>
      <c r="E41" s="82" t="n"/>
      <c r="F41" s="82" t="n"/>
      <c r="G41" s="82" t="n"/>
      <c r="H41" s="82" t="n"/>
      <c r="I41" s="82" t="n"/>
    </row>
    <row r="42">
      <c r="A42" s="81" t="n"/>
      <c r="B42" s="82" t="n"/>
      <c r="C42" s="82" t="n"/>
      <c r="D42" s="82" t="n"/>
      <c r="E42" s="82" t="n"/>
      <c r="F42" s="82" t="n"/>
      <c r="G42" s="82" t="n"/>
      <c r="H42" s="82" t="n"/>
      <c r="I42" s="82" t="n"/>
    </row>
    <row r="43">
      <c r="A43" s="81" t="n"/>
      <c r="B43" s="82" t="n"/>
      <c r="C43" s="82" t="n"/>
      <c r="D43" s="82" t="n"/>
      <c r="E43" s="82" t="n"/>
      <c r="F43" s="82" t="n"/>
      <c r="G43" s="82" t="n"/>
      <c r="H43" s="82" t="n"/>
      <c r="I43" s="82" t="n"/>
    </row>
    <row r="44">
      <c r="A44" s="81" t="n"/>
      <c r="B44" s="82" t="n"/>
      <c r="C44" s="82" t="n"/>
      <c r="D44" s="82" t="n"/>
      <c r="E44" s="82" t="n"/>
      <c r="F44" s="82" t="n"/>
      <c r="G44" s="82" t="n"/>
      <c r="H44" s="82" t="n"/>
      <c r="I44" s="82" t="n"/>
    </row>
    <row r="45">
      <c r="A45" s="81" t="n"/>
      <c r="B45" s="82" t="n"/>
      <c r="C45" s="82" t="n"/>
      <c r="D45" s="82" t="n"/>
      <c r="E45" s="82" t="n"/>
      <c r="F45" s="82" t="n"/>
      <c r="G45" s="82" t="n"/>
      <c r="H45" s="82" t="n"/>
      <c r="I45" s="82" t="n"/>
    </row>
    <row r="46">
      <c r="A46" s="81" t="n"/>
      <c r="B46" s="82" t="n"/>
      <c r="C46" s="82" t="n"/>
      <c r="D46" s="82" t="n"/>
      <c r="E46" s="82" t="n"/>
      <c r="F46" s="82" t="n"/>
      <c r="G46" s="82" t="n"/>
      <c r="H46" s="82" t="n"/>
      <c r="I46" s="82" t="n"/>
    </row>
    <row r="47">
      <c r="A47" s="81" t="n"/>
      <c r="B47" s="82" t="n"/>
      <c r="C47" s="82" t="n"/>
      <c r="D47" s="82" t="n"/>
      <c r="E47" s="82" t="n"/>
      <c r="F47" s="82" t="n"/>
      <c r="G47" s="82" t="n"/>
      <c r="H47" s="82" t="n"/>
      <c r="I47" s="82" t="n"/>
    </row>
    <row r="48">
      <c r="A48" s="81" t="n"/>
      <c r="B48" s="82" t="n"/>
      <c r="C48" s="82" t="n"/>
      <c r="D48" s="82" t="n"/>
      <c r="E48" s="82" t="n"/>
      <c r="F48" s="82" t="n"/>
      <c r="G48" s="82" t="n"/>
      <c r="H48" s="82" t="n"/>
      <c r="I48" s="82" t="n"/>
    </row>
    <row r="49">
      <c r="A49" s="81" t="n"/>
      <c r="B49" s="82" t="n"/>
      <c r="C49" s="82" t="n"/>
      <c r="D49" s="82" t="n"/>
      <c r="E49" s="82" t="n"/>
      <c r="F49" s="82" t="n"/>
      <c r="G49" s="82" t="n"/>
      <c r="H49" s="82" t="n"/>
      <c r="I49" s="82" t="n"/>
    </row>
    <row r="50">
      <c r="A50" s="81" t="n"/>
      <c r="B50" s="82" t="n"/>
      <c r="C50" s="82" t="n"/>
      <c r="D50" s="82" t="n"/>
      <c r="E50" s="82" t="n"/>
      <c r="F50" s="82" t="n"/>
      <c r="G50" s="82" t="n"/>
      <c r="H50" s="82" t="n"/>
      <c r="I50" s="82" t="n"/>
    </row>
    <row r="51">
      <c r="A51" s="81" t="n"/>
      <c r="B51" s="82" t="n"/>
      <c r="C51" s="82" t="n"/>
      <c r="D51" s="82" t="n"/>
      <c r="E51" s="82" t="n"/>
      <c r="F51" s="82" t="n"/>
      <c r="G51" s="82" t="n"/>
      <c r="H51" s="82" t="n"/>
      <c r="I51" s="82" t="n"/>
    </row>
    <row r="52">
      <c r="A52" s="81" t="n"/>
      <c r="B52" s="82" t="n"/>
      <c r="C52" s="82" t="n"/>
      <c r="D52" s="82" t="n"/>
      <c r="E52" s="82" t="n"/>
      <c r="F52" s="82" t="n"/>
      <c r="G52" s="82" t="n"/>
      <c r="H52" s="82" t="n"/>
      <c r="I52" s="82" t="n"/>
    </row>
    <row r="53">
      <c r="A53" s="81" t="n"/>
      <c r="B53" s="82" t="n"/>
      <c r="C53" s="82" t="n"/>
      <c r="D53" s="82" t="n"/>
      <c r="E53" s="82" t="n"/>
      <c r="F53" s="82" t="n"/>
      <c r="G53" s="82" t="n"/>
      <c r="H53" s="82" t="n"/>
      <c r="I53" s="82" t="n"/>
    </row>
    <row r="54">
      <c r="A54" s="81" t="n"/>
      <c r="B54" s="82" t="n"/>
      <c r="C54" s="82" t="n"/>
      <c r="D54" s="82" t="n"/>
      <c r="E54" s="82" t="n"/>
      <c r="F54" s="82" t="n"/>
      <c r="G54" s="82" t="n"/>
      <c r="H54" s="82" t="n"/>
      <c r="I54" s="82" t="n"/>
    </row>
    <row r="55">
      <c r="A55" s="81" t="n"/>
      <c r="B55" s="82" t="n"/>
      <c r="C55" s="82" t="n"/>
      <c r="D55" s="82" t="n"/>
      <c r="E55" s="82" t="n"/>
      <c r="F55" s="82" t="n"/>
      <c r="G55" s="82" t="n"/>
      <c r="H55" s="82" t="n"/>
      <c r="I55" s="82" t="n"/>
    </row>
    <row r="56">
      <c r="A56" s="81" t="n"/>
      <c r="B56" s="82" t="n"/>
      <c r="C56" s="82" t="n"/>
      <c r="D56" s="82" t="n"/>
      <c r="E56" s="82" t="n"/>
      <c r="F56" s="82" t="n"/>
      <c r="G56" s="82" t="n"/>
      <c r="H56" s="82" t="n"/>
      <c r="I56" s="82" t="n"/>
    </row>
    <row r="57">
      <c r="A57" s="81" t="n"/>
      <c r="B57" s="82" t="n"/>
      <c r="C57" s="82" t="n"/>
      <c r="D57" s="82" t="n"/>
      <c r="E57" s="82" t="n"/>
      <c r="F57" s="82" t="n"/>
      <c r="G57" s="82" t="n"/>
      <c r="H57" s="82" t="n"/>
      <c r="I57" s="82" t="n"/>
    </row>
    <row r="58">
      <c r="A58" s="81" t="n"/>
      <c r="B58" s="82" t="n"/>
      <c r="C58" s="82" t="n"/>
      <c r="D58" s="82" t="n"/>
      <c r="E58" s="82" t="n"/>
      <c r="F58" s="82" t="n"/>
      <c r="G58" s="82" t="n"/>
      <c r="H58" s="82" t="n"/>
      <c r="I58" s="82" t="n"/>
    </row>
    <row r="59">
      <c r="A59" s="81" t="n"/>
      <c r="B59" s="82" t="n"/>
      <c r="C59" s="82" t="n"/>
      <c r="D59" s="82" t="n"/>
      <c r="E59" s="82" t="n"/>
      <c r="F59" s="82" t="n"/>
      <c r="G59" s="82" t="n"/>
      <c r="H59" s="82" t="n"/>
      <c r="I59" s="82" t="n"/>
    </row>
    <row r="60">
      <c r="A60" s="81" t="n"/>
      <c r="B60" s="82" t="n"/>
      <c r="C60" s="82" t="n"/>
      <c r="D60" s="82" t="n"/>
      <c r="E60" s="82" t="n"/>
      <c r="F60" s="82" t="n"/>
      <c r="G60" s="82" t="n"/>
      <c r="H60" s="82" t="n"/>
      <c r="I60" s="82" t="n"/>
    </row>
    <row r="61">
      <c r="A61" s="81" t="n"/>
      <c r="B61" s="82" t="n"/>
      <c r="C61" s="82" t="n"/>
      <c r="D61" s="82" t="n"/>
      <c r="E61" s="82" t="n"/>
      <c r="F61" s="82" t="n"/>
      <c r="G61" s="82" t="n"/>
      <c r="H61" s="82" t="n"/>
      <c r="I61" s="82" t="n"/>
    </row>
    <row r="62">
      <c r="A62" s="81" t="n"/>
      <c r="B62" s="82" t="n"/>
      <c r="C62" s="82" t="n"/>
      <c r="D62" s="82" t="n"/>
      <c r="E62" s="82" t="n"/>
      <c r="F62" s="82" t="n"/>
      <c r="G62" s="82" t="n"/>
      <c r="H62" s="82" t="n"/>
      <c r="I62" s="82" t="n"/>
    </row>
    <row r="63">
      <c r="A63" s="81" t="n"/>
      <c r="B63" s="82" t="n"/>
      <c r="C63" s="82" t="n"/>
      <c r="D63" s="82" t="n"/>
      <c r="E63" s="82" t="n"/>
      <c r="F63" s="82" t="n"/>
      <c r="G63" s="82" t="n"/>
      <c r="H63" s="82" t="n"/>
      <c r="I63" s="82" t="n"/>
    </row>
    <row r="64">
      <c r="A64" s="81" t="n"/>
      <c r="B64" s="82" t="n"/>
      <c r="C64" s="82" t="n"/>
      <c r="D64" s="82" t="n"/>
      <c r="E64" s="82" t="n"/>
      <c r="F64" s="82" t="n"/>
      <c r="G64" s="82" t="n"/>
      <c r="H64" s="82" t="n"/>
      <c r="I64" s="82" t="n"/>
    </row>
    <row r="65">
      <c r="A65" s="81" t="n"/>
      <c r="B65" s="82" t="n"/>
      <c r="C65" s="82" t="n"/>
      <c r="D65" s="82" t="n"/>
      <c r="E65" s="82" t="n"/>
      <c r="F65" s="82" t="n"/>
      <c r="G65" s="82" t="n"/>
      <c r="H65" s="82" t="n"/>
      <c r="I65" s="82" t="n"/>
    </row>
    <row r="66">
      <c r="A66" s="81" t="n"/>
      <c r="B66" s="82" t="n"/>
      <c r="C66" s="82" t="n"/>
      <c r="D66" s="82" t="n"/>
      <c r="E66" s="82" t="n"/>
      <c r="F66" s="82" t="n"/>
      <c r="G66" s="82" t="n"/>
      <c r="H66" s="82" t="n"/>
      <c r="I66" s="82" t="n"/>
    </row>
    <row r="67">
      <c r="A67" s="81" t="n"/>
      <c r="B67" s="82" t="n"/>
      <c r="C67" s="82" t="n"/>
      <c r="D67" s="82" t="n"/>
      <c r="E67" s="82" t="n"/>
      <c r="F67" s="82" t="n"/>
      <c r="G67" s="82" t="n"/>
      <c r="H67" s="82" t="n"/>
      <c r="I67" s="82" t="n"/>
    </row>
    <row r="68">
      <c r="A68" s="81" t="n"/>
      <c r="B68" s="82" t="n"/>
      <c r="C68" s="82" t="n"/>
      <c r="D68" s="82" t="n"/>
      <c r="E68" s="82" t="n"/>
      <c r="F68" s="82" t="n"/>
      <c r="G68" s="82" t="n"/>
      <c r="H68" s="82" t="n"/>
      <c r="I68" s="82" t="n"/>
    </row>
    <row r="69">
      <c r="A69" s="81" t="n"/>
      <c r="B69" s="82" t="n"/>
      <c r="C69" s="82" t="n"/>
      <c r="D69" s="82" t="n"/>
      <c r="E69" s="82" t="n"/>
      <c r="F69" s="82" t="n"/>
      <c r="G69" s="82" t="n"/>
      <c r="H69" s="82" t="n"/>
      <c r="I69" s="82" t="n"/>
    </row>
    <row r="70">
      <c r="A70" s="81" t="n"/>
      <c r="B70" s="82" t="n"/>
      <c r="C70" s="82" t="n"/>
      <c r="D70" s="82" t="n"/>
      <c r="E70" s="82" t="n"/>
      <c r="F70" s="82" t="n"/>
      <c r="G70" s="82" t="n"/>
      <c r="H70" s="82" t="n"/>
      <c r="I70" s="82" t="n"/>
    </row>
    <row r="71">
      <c r="A71" s="81" t="n"/>
      <c r="B71" s="82" t="n"/>
      <c r="C71" s="82" t="n"/>
      <c r="D71" s="82" t="n"/>
      <c r="E71" s="82" t="n"/>
      <c r="F71" s="82" t="n"/>
      <c r="G71" s="82" t="n"/>
      <c r="H71" s="82" t="n"/>
      <c r="I71" s="82" t="n"/>
    </row>
    <row r="72">
      <c r="A72" s="81" t="n"/>
      <c r="B72" s="82" t="n"/>
      <c r="C72" s="82" t="n"/>
      <c r="D72" s="82" t="n"/>
      <c r="E72" s="82" t="n"/>
      <c r="F72" s="82" t="n"/>
      <c r="G72" s="82" t="n"/>
      <c r="H72" s="82" t="n"/>
      <c r="I72" s="82" t="n"/>
    </row>
    <row r="73">
      <c r="A73" s="81" t="n"/>
      <c r="B73" s="82" t="n"/>
      <c r="C73" s="82" t="n"/>
      <c r="D73" s="82" t="n"/>
      <c r="E73" s="82" t="n"/>
      <c r="F73" s="82" t="n"/>
      <c r="G73" s="82" t="n"/>
      <c r="H73" s="82" t="n"/>
      <c r="I73" s="82" t="n"/>
    </row>
    <row r="74">
      <c r="A74" s="81" t="n"/>
      <c r="B74" s="82" t="n"/>
      <c r="C74" s="82" t="n"/>
      <c r="D74" s="82" t="n"/>
      <c r="E74" s="82" t="n"/>
      <c r="F74" s="82" t="n"/>
      <c r="G74" s="82" t="n"/>
      <c r="H74" s="82" t="n"/>
      <c r="I74" s="82" t="n"/>
    </row>
    <row r="75">
      <c r="A75" s="81" t="n"/>
      <c r="B75" s="82" t="n"/>
      <c r="C75" s="82" t="n"/>
      <c r="D75" s="82" t="n"/>
      <c r="E75" s="82" t="n"/>
      <c r="F75" s="82" t="n"/>
      <c r="G75" s="82" t="n"/>
      <c r="H75" s="82" t="n"/>
      <c r="I75" s="82" t="n"/>
    </row>
    <row r="76">
      <c r="A76" s="81" t="n"/>
      <c r="B76" s="82" t="n"/>
      <c r="C76" s="82" t="n"/>
      <c r="D76" s="82" t="n"/>
      <c r="E76" s="82" t="n"/>
      <c r="F76" s="82" t="n"/>
      <c r="G76" s="82" t="n"/>
      <c r="H76" s="82" t="n"/>
      <c r="I76" s="82" t="n"/>
    </row>
    <row r="77">
      <c r="A77" s="81" t="n"/>
      <c r="B77" s="82" t="n"/>
      <c r="C77" s="82" t="n"/>
      <c r="D77" s="82" t="n"/>
      <c r="E77" s="82" t="n"/>
      <c r="F77" s="82" t="n"/>
      <c r="G77" s="82" t="n"/>
      <c r="H77" s="82" t="n"/>
      <c r="I77" s="82" t="n"/>
    </row>
    <row r="78">
      <c r="A78" s="81" t="n"/>
      <c r="B78" s="82" t="n"/>
      <c r="C78" s="82" t="n"/>
      <c r="D78" s="82" t="n"/>
      <c r="E78" s="82" t="n"/>
      <c r="F78" s="82" t="n"/>
      <c r="G78" s="82" t="n"/>
      <c r="H78" s="82" t="n"/>
      <c r="I78" s="82" t="n"/>
    </row>
    <row r="79">
      <c r="A79" s="81" t="n"/>
      <c r="B79" s="82" t="n"/>
      <c r="C79" s="82" t="n"/>
      <c r="D79" s="82" t="n"/>
      <c r="E79" s="82" t="n"/>
      <c r="F79" s="82" t="n"/>
      <c r="G79" s="82" t="n"/>
      <c r="H79" s="82" t="n"/>
      <c r="I79" s="82" t="n"/>
    </row>
    <row r="80">
      <c r="A80" s="81" t="n"/>
      <c r="B80" s="82" t="n"/>
      <c r="C80" s="82" t="n"/>
      <c r="D80" s="82" t="n"/>
      <c r="E80" s="82" t="n"/>
      <c r="F80" s="82" t="n"/>
      <c r="G80" s="82" t="n"/>
      <c r="H80" s="82" t="n"/>
      <c r="I80" s="82" t="n"/>
    </row>
    <row r="81">
      <c r="A81" s="81" t="n"/>
      <c r="B81" s="82" t="n"/>
      <c r="C81" s="82" t="n"/>
      <c r="D81" s="82" t="n"/>
      <c r="E81" s="82" t="n"/>
      <c r="F81" s="82" t="n"/>
      <c r="G81" s="82" t="n"/>
      <c r="H81" s="82" t="n"/>
      <c r="I81" s="82" t="n"/>
    </row>
    <row r="82">
      <c r="A82" s="81" t="n"/>
      <c r="B82" s="82" t="n"/>
      <c r="C82" s="82" t="n"/>
      <c r="D82" s="82" t="n"/>
      <c r="E82" s="82" t="n"/>
      <c r="F82" s="82" t="n"/>
      <c r="G82" s="82" t="n"/>
      <c r="H82" s="82" t="n"/>
      <c r="I82" s="82" t="n"/>
    </row>
    <row r="83">
      <c r="A83" s="81" t="n"/>
      <c r="B83" s="82" t="n"/>
      <c r="C83" s="82" t="n"/>
      <c r="D83" s="82" t="n"/>
      <c r="E83" s="82" t="n"/>
      <c r="F83" s="82" t="n"/>
      <c r="G83" s="82" t="n"/>
      <c r="H83" s="82" t="n"/>
      <c r="I83" s="82" t="n"/>
    </row>
    <row r="84">
      <c r="A84" s="81" t="n"/>
      <c r="B84" s="82" t="n"/>
      <c r="C84" s="82" t="n"/>
      <c r="D84" s="82" t="n"/>
      <c r="E84" s="82" t="n"/>
      <c r="F84" s="82" t="n"/>
      <c r="G84" s="82" t="n"/>
      <c r="H84" s="82" t="n"/>
      <c r="I84" s="82" t="n"/>
    </row>
    <row r="85">
      <c r="A85" s="81" t="n"/>
      <c r="B85" s="82" t="n"/>
      <c r="C85" s="82" t="n"/>
      <c r="D85" s="82" t="n"/>
      <c r="E85" s="82" t="n"/>
      <c r="F85" s="82" t="n"/>
      <c r="G85" s="82" t="n"/>
      <c r="H85" s="82" t="n"/>
      <c r="I85" s="82" t="n"/>
    </row>
    <row r="86">
      <c r="A86" s="81" t="n"/>
      <c r="B86" s="82" t="n"/>
      <c r="C86" s="82" t="n"/>
      <c r="D86" s="82" t="n"/>
      <c r="E86" s="82" t="n"/>
      <c r="F86" s="82" t="n"/>
      <c r="G86" s="82" t="n"/>
      <c r="H86" s="82" t="n"/>
      <c r="I86" s="82" t="n"/>
    </row>
    <row r="87">
      <c r="A87" s="81" t="n"/>
      <c r="B87" s="82" t="n"/>
      <c r="C87" s="82" t="n"/>
      <c r="D87" s="82" t="n"/>
      <c r="E87" s="82" t="n"/>
      <c r="F87" s="82" t="n"/>
      <c r="G87" s="82" t="n"/>
      <c r="H87" s="82" t="n"/>
      <c r="I87" s="82" t="n"/>
    </row>
    <row r="88">
      <c r="A88" s="81" t="n"/>
      <c r="B88" s="82" t="n"/>
      <c r="C88" s="82" t="n"/>
      <c r="D88" s="82" t="n"/>
      <c r="E88" s="82" t="n"/>
      <c r="F88" s="82" t="n"/>
      <c r="G88" s="82" t="n"/>
      <c r="H88" s="82" t="n"/>
      <c r="I88" s="82" t="n"/>
    </row>
    <row r="89">
      <c r="A89" s="81" t="n"/>
      <c r="B89" s="82" t="n"/>
      <c r="C89" s="82" t="n"/>
      <c r="D89" s="82" t="n"/>
      <c r="E89" s="82" t="n"/>
      <c r="F89" s="82" t="n"/>
      <c r="G89" s="82" t="n"/>
      <c r="H89" s="82" t="n"/>
      <c r="I89" s="82" t="n"/>
    </row>
    <row r="90">
      <c r="A90" s="81" t="n"/>
      <c r="B90" s="82" t="n"/>
      <c r="C90" s="82" t="n"/>
      <c r="D90" s="82" t="n"/>
      <c r="E90" s="82" t="n"/>
      <c r="F90" s="82" t="n"/>
      <c r="G90" s="82" t="n"/>
      <c r="H90" s="82" t="n"/>
      <c r="I90" s="82" t="n"/>
    </row>
    <row r="91">
      <c r="A91" s="81" t="n"/>
      <c r="B91" s="82" t="n"/>
      <c r="C91" s="82" t="n"/>
      <c r="D91" s="82" t="n"/>
      <c r="E91" s="82" t="n"/>
      <c r="F91" s="82" t="n"/>
      <c r="G91" s="82" t="n"/>
      <c r="H91" s="82" t="n"/>
      <c r="I91" s="82" t="n"/>
    </row>
    <row r="92">
      <c r="A92" s="81" t="n"/>
      <c r="B92" s="82" t="n"/>
      <c r="C92" s="82" t="n"/>
      <c r="D92" s="82" t="n"/>
      <c r="E92" s="82" t="n"/>
      <c r="F92" s="82" t="n"/>
      <c r="G92" s="82" t="n"/>
      <c r="H92" s="82" t="n"/>
      <c r="I92" s="82" t="n"/>
    </row>
    <row r="93">
      <c r="A93" s="81" t="n"/>
      <c r="B93" s="82" t="n"/>
      <c r="C93" s="82" t="n"/>
      <c r="D93" s="82" t="n"/>
      <c r="E93" s="82" t="n"/>
      <c r="F93" s="82" t="n"/>
      <c r="G93" s="82" t="n"/>
      <c r="H93" s="82" t="n"/>
      <c r="I93" s="82" t="n"/>
    </row>
    <row r="94">
      <c r="A94" s="81" t="n"/>
      <c r="B94" s="82" t="n"/>
      <c r="C94" s="82" t="n"/>
      <c r="D94" s="82" t="n"/>
      <c r="E94" s="82" t="n"/>
      <c r="F94" s="82" t="n"/>
      <c r="G94" s="82" t="n"/>
      <c r="H94" s="82" t="n"/>
      <c r="I94" s="82" t="n"/>
    </row>
    <row r="95">
      <c r="A95" s="81" t="n"/>
      <c r="B95" s="82" t="n"/>
      <c r="C95" s="82" t="n"/>
      <c r="D95" s="82" t="n"/>
      <c r="E95" s="82" t="n"/>
      <c r="F95" s="82" t="n"/>
      <c r="G95" s="82" t="n"/>
      <c r="H95" s="82" t="n"/>
      <c r="I95" s="82" t="n"/>
    </row>
    <row r="96">
      <c r="A96" s="81" t="n"/>
      <c r="B96" s="82" t="n"/>
      <c r="C96" s="82" t="n"/>
      <c r="D96" s="82" t="n"/>
      <c r="E96" s="82" t="n"/>
      <c r="F96" s="82" t="n"/>
      <c r="G96" s="82" t="n"/>
      <c r="H96" s="82" t="n"/>
      <c r="I96" s="82" t="n"/>
    </row>
    <row r="97">
      <c r="A97" s="81" t="n"/>
      <c r="B97" s="82" t="n"/>
      <c r="C97" s="82" t="n"/>
      <c r="D97" s="82" t="n"/>
      <c r="E97" s="82" t="n"/>
      <c r="F97" s="82" t="n"/>
      <c r="G97" s="82" t="n"/>
      <c r="H97" s="82" t="n"/>
      <c r="I97" s="82" t="n"/>
    </row>
    <row r="98">
      <c r="A98" s="81" t="n"/>
      <c r="B98" s="82" t="n"/>
      <c r="C98" s="82" t="n"/>
      <c r="D98" s="82" t="n"/>
      <c r="E98" s="82" t="n"/>
      <c r="F98" s="82" t="n"/>
      <c r="G98" s="82" t="n"/>
      <c r="H98" s="82" t="n"/>
      <c r="I98" s="82" t="n"/>
    </row>
    <row r="99">
      <c r="A99" s="81" t="n"/>
      <c r="B99" s="82" t="n"/>
      <c r="C99" s="82" t="n"/>
      <c r="D99" s="82" t="n"/>
      <c r="E99" s="82" t="n"/>
      <c r="F99" s="82" t="n"/>
      <c r="G99" s="82" t="n"/>
      <c r="H99" s="82" t="n"/>
      <c r="I99" s="82" t="n"/>
    </row>
    <row r="100">
      <c r="A100" s="81" t="n"/>
      <c r="B100" s="82" t="n"/>
      <c r="C100" s="82" t="n"/>
      <c r="D100" s="82" t="n"/>
      <c r="E100" s="82" t="n"/>
      <c r="F100" s="82" t="n"/>
      <c r="G100" s="82" t="n"/>
      <c r="H100" s="82" t="n"/>
      <c r="I100" s="82" t="n"/>
    </row>
    <row r="101">
      <c r="A101" s="81" t="n"/>
      <c r="B101" s="82" t="n"/>
      <c r="C101" s="82" t="n"/>
      <c r="D101" s="82" t="n"/>
      <c r="E101" s="82" t="n"/>
      <c r="F101" s="82" t="n"/>
      <c r="G101" s="82" t="n"/>
      <c r="H101" s="82" t="n"/>
      <c r="I101" s="82" t="n"/>
    </row>
    <row r="102">
      <c r="A102" s="81" t="n"/>
      <c r="B102" s="82" t="n"/>
      <c r="C102" s="82" t="n"/>
      <c r="D102" s="82" t="n"/>
      <c r="E102" s="82" t="n"/>
      <c r="F102" s="82" t="n"/>
      <c r="G102" s="82" t="n"/>
      <c r="H102" s="82" t="n"/>
      <c r="I102" s="82" t="n"/>
    </row>
    <row r="103">
      <c r="A103" s="81" t="n"/>
      <c r="B103" s="82" t="n"/>
      <c r="C103" s="82" t="n"/>
      <c r="D103" s="82" t="n"/>
      <c r="E103" s="82" t="n"/>
      <c r="F103" s="82" t="n"/>
      <c r="G103" s="82" t="n"/>
      <c r="H103" s="82" t="n"/>
      <c r="I103" s="82" t="n"/>
    </row>
    <row r="104">
      <c r="A104" s="81" t="n"/>
      <c r="B104" s="82" t="n"/>
      <c r="C104" s="82" t="n"/>
      <c r="D104" s="82" t="n"/>
      <c r="E104" s="82" t="n"/>
      <c r="F104" s="82" t="n"/>
      <c r="G104" s="82" t="n"/>
      <c r="H104" s="82" t="n"/>
      <c r="I104" s="82" t="n"/>
    </row>
    <row r="105">
      <c r="A105" s="81" t="n"/>
      <c r="B105" s="82" t="n"/>
      <c r="C105" s="82" t="n"/>
      <c r="D105" s="82" t="n"/>
      <c r="E105" s="82" t="n"/>
      <c r="F105" s="82" t="n"/>
      <c r="G105" s="82" t="n"/>
      <c r="H105" s="82" t="n"/>
      <c r="I105" s="82" t="n"/>
    </row>
    <row r="106">
      <c r="A106" s="81" t="n"/>
      <c r="B106" s="82" t="n"/>
      <c r="C106" s="82" t="n"/>
      <c r="D106" s="82" t="n"/>
      <c r="E106" s="82" t="n"/>
      <c r="F106" s="82" t="n"/>
      <c r="G106" s="82" t="n"/>
      <c r="H106" s="82" t="n"/>
      <c r="I106" s="82" t="n"/>
    </row>
    <row r="107">
      <c r="A107" s="81" t="n"/>
      <c r="B107" s="82" t="n"/>
      <c r="C107" s="82" t="n"/>
      <c r="D107" s="82" t="n"/>
      <c r="E107" s="82" t="n"/>
      <c r="F107" s="82" t="n"/>
      <c r="G107" s="82" t="n"/>
      <c r="H107" s="82" t="n"/>
      <c r="I107" s="82" t="n"/>
    </row>
    <row r="108">
      <c r="A108" s="81" t="n"/>
      <c r="B108" s="82" t="n"/>
      <c r="C108" s="82" t="n"/>
      <c r="D108" s="82" t="n"/>
      <c r="E108" s="82" t="n"/>
      <c r="F108" s="82" t="n"/>
      <c r="G108" s="82" t="n"/>
      <c r="H108" s="82" t="n"/>
      <c r="I108" s="82" t="n"/>
    </row>
    <row r="109">
      <c r="A109" s="81" t="n"/>
      <c r="B109" s="82" t="n"/>
      <c r="C109" s="82" t="n"/>
      <c r="D109" s="82" t="n"/>
      <c r="E109" s="82" t="n"/>
      <c r="F109" s="82" t="n"/>
      <c r="G109" s="82" t="n"/>
      <c r="H109" s="82" t="n"/>
      <c r="I109" s="82" t="n"/>
    </row>
    <row r="110">
      <c r="A110" s="81" t="n"/>
      <c r="B110" s="82" t="n"/>
      <c r="C110" s="82" t="n"/>
      <c r="D110" s="82" t="n"/>
      <c r="E110" s="82" t="n"/>
      <c r="F110" s="82" t="n"/>
      <c r="G110" s="82" t="n"/>
      <c r="H110" s="82" t="n"/>
      <c r="I110" s="82" t="n"/>
    </row>
    <row r="111">
      <c r="A111" s="81" t="n"/>
      <c r="B111" s="82" t="n"/>
      <c r="C111" s="82" t="n"/>
      <c r="D111" s="82" t="n"/>
      <c r="E111" s="82" t="n"/>
      <c r="F111" s="82" t="n"/>
      <c r="G111" s="82" t="n"/>
      <c r="H111" s="82" t="n"/>
      <c r="I111" s="82" t="n"/>
    </row>
    <row r="112">
      <c r="A112" s="81" t="n"/>
      <c r="B112" s="82" t="n"/>
      <c r="C112" s="82" t="n"/>
      <c r="D112" s="82" t="n"/>
      <c r="E112" s="82" t="n"/>
      <c r="F112" s="82" t="n"/>
      <c r="G112" s="82" t="n"/>
      <c r="H112" s="82" t="n"/>
      <c r="I112" s="82" t="n"/>
    </row>
    <row r="113">
      <c r="A113" s="81" t="n"/>
      <c r="B113" s="82" t="n"/>
      <c r="C113" s="82" t="n"/>
      <c r="D113" s="82" t="n"/>
      <c r="E113" s="82" t="n"/>
      <c r="F113" s="82" t="n"/>
      <c r="G113" s="82" t="n"/>
      <c r="H113" s="82" t="n"/>
      <c r="I113" s="82" t="n"/>
    </row>
    <row r="114">
      <c r="A114" s="81" t="n"/>
      <c r="B114" s="82" t="n"/>
      <c r="C114" s="82" t="n"/>
      <c r="D114" s="82" t="n"/>
      <c r="E114" s="82" t="n"/>
      <c r="F114" s="82" t="n"/>
      <c r="G114" s="82" t="n"/>
      <c r="H114" s="82" t="n"/>
      <c r="I114" s="82" t="n"/>
    </row>
    <row r="115">
      <c r="A115" s="81" t="n"/>
      <c r="B115" s="82" t="n"/>
      <c r="C115" s="82" t="n"/>
      <c r="D115" s="82" t="n"/>
      <c r="E115" s="82" t="n"/>
      <c r="F115" s="82" t="n"/>
      <c r="G115" s="82" t="n"/>
      <c r="H115" s="82" t="n"/>
      <c r="I115" s="82" t="n"/>
    </row>
    <row r="116">
      <c r="A116" s="81" t="n"/>
      <c r="B116" s="82" t="n"/>
      <c r="C116" s="82" t="n"/>
      <c r="D116" s="82" t="n"/>
      <c r="E116" s="82" t="n"/>
      <c r="F116" s="82" t="n"/>
      <c r="G116" s="82" t="n"/>
      <c r="H116" s="82" t="n"/>
      <c r="I116" s="82" t="n"/>
    </row>
    <row r="117">
      <c r="A117" s="81" t="n"/>
      <c r="B117" s="82" t="n"/>
      <c r="C117" s="82" t="n"/>
      <c r="D117" s="82" t="n"/>
      <c r="E117" s="82" t="n"/>
      <c r="F117" s="82" t="n"/>
      <c r="G117" s="82" t="n"/>
      <c r="H117" s="82" t="n"/>
      <c r="I117" s="82" t="n"/>
    </row>
    <row r="118">
      <c r="A118" s="81" t="n"/>
      <c r="B118" s="82" t="n"/>
      <c r="C118" s="82" t="n"/>
      <c r="D118" s="82" t="n"/>
      <c r="E118" s="82" t="n"/>
      <c r="F118" s="82" t="n"/>
      <c r="G118" s="82" t="n"/>
      <c r="H118" s="82" t="n"/>
      <c r="I118" s="82" t="n"/>
    </row>
    <row r="119">
      <c r="A119" s="81" t="n"/>
      <c r="B119" s="82" t="n"/>
      <c r="C119" s="82" t="n"/>
      <c r="D119" s="82" t="n"/>
      <c r="E119" s="82" t="n"/>
      <c r="F119" s="82" t="n"/>
      <c r="G119" s="82" t="n"/>
      <c r="H119" s="82" t="n"/>
      <c r="I119" s="82" t="n"/>
    </row>
    <row r="120">
      <c r="A120" s="81" t="n"/>
      <c r="B120" s="82" t="n"/>
      <c r="C120" s="82" t="n"/>
      <c r="D120" s="82" t="n"/>
      <c r="E120" s="82" t="n"/>
      <c r="F120" s="82" t="n"/>
      <c r="G120" s="82" t="n"/>
      <c r="H120" s="82" t="n"/>
      <c r="I120" s="82" t="n"/>
    </row>
    <row r="121">
      <c r="A121" s="81" t="n"/>
      <c r="B121" s="82" t="n"/>
      <c r="C121" s="82" t="n"/>
      <c r="D121" s="82" t="n"/>
      <c r="E121" s="82" t="n"/>
      <c r="F121" s="82" t="n"/>
      <c r="G121" s="82" t="n"/>
      <c r="H121" s="82" t="n"/>
      <c r="I121" s="82" t="n"/>
    </row>
    <row r="122">
      <c r="A122" s="81" t="n"/>
      <c r="B122" s="82" t="n"/>
      <c r="C122" s="82" t="n"/>
      <c r="D122" s="82" t="n"/>
      <c r="E122" s="82" t="n"/>
      <c r="F122" s="82" t="n"/>
      <c r="G122" s="82" t="n"/>
      <c r="H122" s="82" t="n"/>
      <c r="I122" s="82" t="n"/>
    </row>
    <row r="123">
      <c r="A123" s="81" t="n"/>
      <c r="B123" s="82" t="n"/>
      <c r="C123" s="82" t="n"/>
      <c r="D123" s="82" t="n"/>
      <c r="E123" s="82" t="n"/>
      <c r="F123" s="82" t="n"/>
      <c r="G123" s="82" t="n"/>
      <c r="H123" s="82" t="n"/>
      <c r="I123" s="82" t="n"/>
    </row>
    <row r="124">
      <c r="A124" s="81" t="n"/>
      <c r="B124" s="82" t="n"/>
      <c r="C124" s="82" t="n"/>
      <c r="D124" s="82" t="n"/>
      <c r="E124" s="82" t="n"/>
      <c r="F124" s="82" t="n"/>
      <c r="G124" s="82" t="n"/>
      <c r="H124" s="82" t="n"/>
      <c r="I124" s="82" t="n"/>
    </row>
    <row r="125">
      <c r="A125" s="81" t="n"/>
      <c r="B125" s="82" t="n"/>
      <c r="C125" s="82" t="n"/>
      <c r="D125" s="82" t="n"/>
      <c r="E125" s="82" t="n"/>
      <c r="F125" s="82" t="n"/>
      <c r="G125" s="82" t="n"/>
      <c r="H125" s="82" t="n"/>
      <c r="I125" s="82" t="n"/>
    </row>
    <row r="126">
      <c r="A126" s="81" t="n"/>
      <c r="B126" s="82" t="n"/>
      <c r="C126" s="82" t="n"/>
      <c r="D126" s="82" t="n"/>
      <c r="E126" s="82" t="n"/>
      <c r="F126" s="82" t="n"/>
      <c r="G126" s="82" t="n"/>
      <c r="H126" s="82" t="n"/>
      <c r="I126" s="82" t="n"/>
    </row>
    <row r="127">
      <c r="A127" s="81" t="n"/>
      <c r="B127" s="82" t="n"/>
      <c r="C127" s="82" t="n"/>
      <c r="D127" s="82" t="n"/>
      <c r="E127" s="82" t="n"/>
      <c r="F127" s="82" t="n"/>
      <c r="G127" s="82" t="n"/>
      <c r="H127" s="82" t="n"/>
      <c r="I127" s="82" t="n"/>
    </row>
    <row r="128">
      <c r="A128" s="81" t="n"/>
      <c r="B128" s="82" t="n"/>
      <c r="C128" s="82" t="n"/>
      <c r="D128" s="82" t="n"/>
      <c r="E128" s="82" t="n"/>
      <c r="F128" s="82" t="n"/>
      <c r="G128" s="82" t="n"/>
      <c r="H128" s="82" t="n"/>
      <c r="I128" s="82" t="n"/>
    </row>
    <row r="129">
      <c r="A129" s="81" t="n"/>
      <c r="B129" s="82" t="n"/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81" t="n"/>
      <c r="B130" s="82" t="n"/>
      <c r="C130" s="82" t="n"/>
      <c r="D130" s="82" t="n"/>
      <c r="E130" s="82" t="n"/>
      <c r="F130" s="82" t="n"/>
      <c r="G130" s="82" t="n"/>
      <c r="H130" s="82" t="n"/>
      <c r="I130" s="82" t="n"/>
    </row>
    <row r="131">
      <c r="A131" s="81" t="n"/>
      <c r="B131" s="82" t="n"/>
      <c r="C131" s="82" t="n"/>
      <c r="D131" s="82" t="n"/>
      <c r="E131" s="82" t="n"/>
      <c r="F131" s="82" t="n"/>
      <c r="G131" s="82" t="n"/>
      <c r="H131" s="82" t="n"/>
      <c r="I131" s="82" t="n"/>
    </row>
    <row r="132">
      <c r="A132" s="81" t="n"/>
      <c r="B132" s="82" t="n"/>
      <c r="C132" s="82" t="n"/>
      <c r="D132" s="82" t="n"/>
      <c r="E132" s="82" t="n"/>
      <c r="F132" s="82" t="n"/>
      <c r="G132" s="82" t="n"/>
      <c r="H132" s="82" t="n"/>
      <c r="I132" s="82" t="n"/>
    </row>
    <row r="133">
      <c r="A133" s="81" t="n"/>
      <c r="B133" s="82" t="n"/>
      <c r="C133" s="82" t="n"/>
      <c r="D133" s="82" t="n"/>
      <c r="E133" s="82" t="n"/>
      <c r="F133" s="82" t="n"/>
      <c r="G133" s="82" t="n"/>
      <c r="H133" s="82" t="n"/>
      <c r="I133" s="82" t="n"/>
    </row>
    <row r="134">
      <c r="A134" s="81" t="n"/>
      <c r="B134" s="82" t="n"/>
      <c r="C134" s="82" t="n"/>
      <c r="D134" s="82" t="n"/>
      <c r="E134" s="82" t="n"/>
      <c r="F134" s="82" t="n"/>
      <c r="G134" s="82" t="n"/>
      <c r="H134" s="82" t="n"/>
      <c r="I134" s="82" t="n"/>
    </row>
    <row r="135">
      <c r="A135" s="81" t="n"/>
      <c r="B135" s="82" t="n"/>
      <c r="C135" s="82" t="n"/>
      <c r="D135" s="82" t="n"/>
      <c r="E135" s="82" t="n"/>
      <c r="F135" s="82" t="n"/>
      <c r="G135" s="82" t="n"/>
      <c r="H135" s="82" t="n"/>
      <c r="I135" s="82" t="n"/>
    </row>
    <row r="136">
      <c r="A136" s="81" t="n"/>
      <c r="B136" s="82" t="n"/>
      <c r="C136" s="82" t="n"/>
      <c r="D136" s="82" t="n"/>
      <c r="E136" s="82" t="n"/>
      <c r="F136" s="82" t="n"/>
      <c r="G136" s="82" t="n"/>
      <c r="H136" s="82" t="n"/>
      <c r="I136" s="82" t="n"/>
    </row>
    <row r="137">
      <c r="A137" s="81" t="n"/>
      <c r="B137" s="82" t="n"/>
      <c r="C137" s="82" t="n"/>
      <c r="D137" s="82" t="n"/>
      <c r="E137" s="82" t="n"/>
      <c r="F137" s="82" t="n"/>
      <c r="G137" s="82" t="n"/>
      <c r="H137" s="82" t="n"/>
      <c r="I137" s="82" t="n"/>
    </row>
    <row r="138">
      <c r="A138" s="81" t="n"/>
      <c r="B138" s="82" t="n"/>
      <c r="C138" s="82" t="n"/>
      <c r="D138" s="82" t="n"/>
      <c r="E138" s="82" t="n"/>
      <c r="F138" s="82" t="n"/>
      <c r="G138" s="82" t="n"/>
      <c r="H138" s="82" t="n"/>
      <c r="I138" s="82" t="n"/>
    </row>
    <row r="139">
      <c r="A139" s="81" t="n"/>
      <c r="B139" s="82" t="n"/>
      <c r="C139" s="82" t="n"/>
      <c r="D139" s="82" t="n"/>
      <c r="E139" s="82" t="n"/>
      <c r="F139" s="82" t="n"/>
      <c r="G139" s="82" t="n"/>
      <c r="H139" s="82" t="n"/>
      <c r="I139" s="82" t="n"/>
    </row>
    <row r="140">
      <c r="A140" s="81" t="n"/>
      <c r="B140" s="82" t="n"/>
      <c r="C140" s="82" t="n"/>
      <c r="D140" s="82" t="n"/>
      <c r="E140" s="82" t="n"/>
      <c r="F140" s="82" t="n"/>
      <c r="G140" s="82" t="n"/>
      <c r="H140" s="82" t="n"/>
      <c r="I140" s="82" t="n"/>
    </row>
    <row r="141">
      <c r="A141" s="81" t="n"/>
      <c r="B141" s="82" t="n"/>
      <c r="C141" s="82" t="n"/>
      <c r="D141" s="82" t="n"/>
      <c r="E141" s="82" t="n"/>
      <c r="F141" s="82" t="n"/>
      <c r="G141" s="82" t="n"/>
      <c r="H141" s="82" t="n"/>
      <c r="I141" s="82" t="n"/>
    </row>
    <row r="142">
      <c r="A142" s="81" t="n"/>
      <c r="B142" s="82" t="n"/>
      <c r="C142" s="82" t="n"/>
      <c r="D142" s="82" t="n"/>
      <c r="E142" s="82" t="n"/>
      <c r="F142" s="82" t="n"/>
      <c r="G142" s="82" t="n"/>
      <c r="H142" s="82" t="n"/>
      <c r="I142" s="82" t="n"/>
    </row>
    <row r="143">
      <c r="A143" s="81" t="n"/>
      <c r="B143" s="82" t="n"/>
      <c r="C143" s="82" t="n"/>
      <c r="D143" s="82" t="n"/>
      <c r="E143" s="82" t="n"/>
      <c r="F143" s="82" t="n"/>
      <c r="G143" s="82" t="n"/>
      <c r="H143" s="82" t="n"/>
      <c r="I143" s="82" t="n"/>
    </row>
    <row r="144">
      <c r="A144" s="81" t="n"/>
      <c r="B144" s="82" t="n"/>
      <c r="C144" s="82" t="n"/>
      <c r="D144" s="82" t="n"/>
      <c r="E144" s="82" t="n"/>
      <c r="F144" s="82" t="n"/>
      <c r="G144" s="82" t="n"/>
      <c r="H144" s="82" t="n"/>
      <c r="I144" s="82" t="n"/>
    </row>
    <row r="145">
      <c r="A145" s="81" t="n"/>
      <c r="B145" s="82" t="n"/>
      <c r="C145" s="82" t="n"/>
      <c r="D145" s="82" t="n"/>
      <c r="E145" s="82" t="n"/>
      <c r="F145" s="82" t="n"/>
      <c r="G145" s="82" t="n"/>
      <c r="H145" s="82" t="n"/>
      <c r="I145" s="82" t="n"/>
    </row>
    <row r="146">
      <c r="A146" s="81" t="n"/>
      <c r="B146" s="82" t="n"/>
      <c r="C146" s="82" t="n"/>
      <c r="D146" s="82" t="n"/>
      <c r="E146" s="82" t="n"/>
      <c r="F146" s="82" t="n"/>
      <c r="G146" s="82" t="n"/>
      <c r="H146" s="82" t="n"/>
      <c r="I146" s="82" t="n"/>
    </row>
    <row r="147">
      <c r="A147" s="81" t="n"/>
      <c r="B147" s="82" t="n"/>
      <c r="C147" s="82" t="n"/>
      <c r="D147" s="82" t="n"/>
      <c r="E147" s="82" t="n"/>
      <c r="F147" s="82" t="n"/>
      <c r="G147" s="82" t="n"/>
      <c r="H147" s="82" t="n"/>
      <c r="I147" s="82" t="n"/>
    </row>
    <row r="148">
      <c r="A148" s="81" t="n"/>
      <c r="B148" s="82" t="n"/>
      <c r="C148" s="82" t="n"/>
      <c r="D148" s="82" t="n"/>
      <c r="E148" s="82" t="n"/>
      <c r="F148" s="82" t="n"/>
      <c r="G148" s="82" t="n"/>
      <c r="H148" s="82" t="n"/>
      <c r="I148" s="82" t="n"/>
    </row>
    <row r="149">
      <c r="A149" s="81" t="n"/>
      <c r="B149" s="82" t="n"/>
      <c r="C149" s="82" t="n"/>
      <c r="D149" s="82" t="n"/>
      <c r="E149" s="82" t="n"/>
      <c r="F149" s="82" t="n"/>
      <c r="G149" s="82" t="n"/>
      <c r="H149" s="82" t="n"/>
      <c r="I149" s="82" t="n"/>
    </row>
    <row r="150">
      <c r="A150" s="81" t="n"/>
      <c r="B150" s="82" t="n"/>
      <c r="C150" s="82" t="n"/>
      <c r="D150" s="82" t="n"/>
      <c r="E150" s="82" t="n"/>
      <c r="F150" s="82" t="n"/>
      <c r="G150" s="82" t="n"/>
      <c r="H150" s="82" t="n"/>
      <c r="I150" s="82" t="n"/>
    </row>
  </sheetData>
  <mergeCells count="2">
    <mergeCell ref="A1:I1"/>
    <mergeCell ref="A2:I2"/>
  </mergeCells>
  <conditionalFormatting sqref="I4:I150">
    <cfRule type="cellIs" priority="1" operator="equal" dxfId="7">
      <formula>"Fait"</formula>
    </cfRule>
  </conditionalFormatting>
  <dataValidations count="4">
    <dataValidation sqref="B4:B150" showDropDown="0" showInputMessage="0" showErrorMessage="0" allowBlank="1" errorTitle="Valeur non prevue" error="Choisissez une valeur dans la liste." type="list">
      <formula1>"S01,S02,S03,S04,S05,S06,S07,S08,S09,S10,S11,S12,S13,S14,S15,S16,S17,S18,S19,S20,S21,S22"</formula1>
    </dataValidation>
    <dataValidation sqref="C4:C150" showDropDown="0" showInputMessage="0" showErrorMessage="0" allowBlank="1" errorTitle="Valeur non prevue" error="Choisissez une valeur dans la liste." type="list">
      <formula1>"JERUSALEM GEEKS,JEREMIAH GEEKS"</formula1>
    </dataValidation>
    <dataValidation sqref="E4:E150" showDropDown="0" showInputMessage="0" showErrorMessage="0" allowBlank="1" errorTitle="Valeur non prevue" error="Choisissez une valeur dans la liste." type="list">
      <formula1>"Réussite,Difficulté,Comportement,Famille,Santé,Matériel,Autre"</formula1>
    </dataValidation>
    <dataValidation sqref="I4:I150" showDropDown="0" showInputMessage="0" showErrorMessage="0" allowBlank="1" errorTitle="Valeur non prevue" error="Choisissez une valeur dans la liste." type="list">
      <formula1>"À faire,En cours,Fait"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style="23" min="1" max="1"/>
    <col width="12" customWidth="1" style="23" min="2" max="2"/>
    <col width="17" customWidth="1" style="23" min="3" max="3"/>
    <col width="18" customWidth="1" style="23" min="4" max="4"/>
    <col width="10" customWidth="1" style="23" min="5" max="5"/>
    <col width="42" customWidth="1" style="23" min="6" max="6"/>
    <col width="42" customWidth="1" style="23" min="7" max="7"/>
    <col width="32" customWidth="1" style="23" min="8" max="8"/>
    <col width="26" customWidth="1" style="23" min="9" max="9"/>
    <col width="38" customWidth="1" style="23" min="10" max="10"/>
  </cols>
  <sheetData>
    <row r="1" ht="26" customHeight="1" s="23">
      <c r="A1" s="52" t="inlineStr">
        <is>
          <t>JOURNAL DES ENSEIGNANTS — LA REVUE D'APRÈS-SÉANCE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</row>
    <row r="2" ht="30" customHeight="1" s="23">
      <c r="A2" s="57" t="inlineStr">
        <is>
          <t>À remplir juste après chaque séance, avant de rentrer. UNE LIGNE PAR CLASSE : chaque enseignant remplit la sienne. C'est le meilleur outil de préparation de la séance suivante qui existe.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</row>
    <row r="3" ht="32" customHeight="1" s="23">
      <c r="A3" s="74" t="inlineStr">
        <is>
          <t>Séance</t>
        </is>
      </c>
      <c r="B3" s="74" t="inlineStr">
        <is>
          <t>Date</t>
        </is>
      </c>
      <c r="C3" s="74" t="inlineStr">
        <is>
          <t>Classe</t>
        </is>
      </c>
      <c r="D3" s="74" t="inlineStr">
        <is>
          <t>Enseignant</t>
        </is>
      </c>
      <c r="E3" s="74" t="inlineStr">
        <is>
          <t>Présents</t>
        </is>
      </c>
      <c r="F3" s="74" t="inlineStr">
        <is>
          <t>Q1 — Qui a décroché, et qu'est-ce qu'on fait samedi ?</t>
        </is>
      </c>
      <c r="G3" s="74" t="inlineStr">
        <is>
          <t>Q2 — Quelle explication n'a pas marché, et comment je la reformule ?</t>
        </is>
      </c>
      <c r="H3" s="74" t="inlineStr">
        <is>
          <t>Q3 — La brique de la semaine prochaine est-elle trop grosse ?</t>
        </is>
      </c>
      <c r="I3" s="74" t="inlineStr">
        <is>
          <t>Notion la plus citée sur les post-it</t>
        </is>
      </c>
      <c r="J3" s="74" t="inlineStr">
        <is>
          <t>Décisions prises</t>
        </is>
      </c>
    </row>
    <row r="4" ht="42" customHeight="1" s="23">
      <c r="A4" s="83" t="inlineStr">
        <is>
          <t>S01</t>
        </is>
      </c>
      <c r="B4" s="81" t="n"/>
      <c r="C4" s="75" t="inlineStr">
        <is>
          <t>JERUSALEM GEEKS</t>
        </is>
      </c>
      <c r="D4" s="82" t="n"/>
      <c r="E4" s="82" t="n"/>
      <c r="F4" s="82" t="n"/>
      <c r="G4" s="82" t="n"/>
      <c r="H4" s="82" t="n"/>
      <c r="I4" s="82" t="n"/>
      <c r="J4" s="82" t="n"/>
    </row>
    <row r="5" ht="42" customHeight="1" s="23">
      <c r="A5" s="83" t="inlineStr">
        <is>
          <t>S01</t>
        </is>
      </c>
      <c r="B5" s="81" t="n"/>
      <c r="C5" s="75" t="inlineStr">
        <is>
          <t>JEREMIAH GEEKS</t>
        </is>
      </c>
      <c r="D5" s="82" t="n"/>
      <c r="E5" s="82" t="n"/>
      <c r="F5" s="82" t="n"/>
      <c r="G5" s="82" t="n"/>
      <c r="H5" s="82" t="n"/>
      <c r="I5" s="82" t="n"/>
      <c r="J5" s="82" t="n"/>
    </row>
    <row r="6" ht="42" customHeight="1" s="23">
      <c r="A6" s="83" t="inlineStr">
        <is>
          <t>S02</t>
        </is>
      </c>
      <c r="B6" s="81" t="n"/>
      <c r="C6" s="75" t="inlineStr">
        <is>
          <t>JERUSALEM GEEKS</t>
        </is>
      </c>
      <c r="D6" s="82" t="n"/>
      <c r="E6" s="82" t="n"/>
      <c r="F6" s="82" t="n"/>
      <c r="G6" s="82" t="n"/>
      <c r="H6" s="82" t="n"/>
      <c r="I6" s="82" t="n"/>
      <c r="J6" s="82" t="n"/>
    </row>
    <row r="7" ht="42" customHeight="1" s="23">
      <c r="A7" s="83" t="inlineStr">
        <is>
          <t>S02</t>
        </is>
      </c>
      <c r="B7" s="81" t="n"/>
      <c r="C7" s="75" t="inlineStr">
        <is>
          <t>JEREMIAH GEEKS</t>
        </is>
      </c>
      <c r="D7" s="82" t="n"/>
      <c r="E7" s="82" t="n"/>
      <c r="F7" s="82" t="n"/>
      <c r="G7" s="82" t="n"/>
      <c r="H7" s="82" t="n"/>
      <c r="I7" s="82" t="n"/>
      <c r="J7" s="82" t="n"/>
    </row>
    <row r="8" ht="42" customHeight="1" s="23">
      <c r="A8" s="83" t="inlineStr">
        <is>
          <t>S03</t>
        </is>
      </c>
      <c r="B8" s="81" t="n"/>
      <c r="C8" s="75" t="inlineStr">
        <is>
          <t>JERUSALEM GEEKS</t>
        </is>
      </c>
      <c r="D8" s="82" t="n"/>
      <c r="E8" s="82" t="n"/>
      <c r="F8" s="82" t="n"/>
      <c r="G8" s="82" t="n"/>
      <c r="H8" s="82" t="n"/>
      <c r="I8" s="82" t="n"/>
      <c r="J8" s="82" t="n"/>
    </row>
    <row r="9" ht="42" customHeight="1" s="23">
      <c r="A9" s="83" t="inlineStr">
        <is>
          <t>S03</t>
        </is>
      </c>
      <c r="B9" s="81" t="n"/>
      <c r="C9" s="75" t="inlineStr">
        <is>
          <t>JEREMIAH GEEKS</t>
        </is>
      </c>
      <c r="D9" s="82" t="n"/>
      <c r="E9" s="82" t="n"/>
      <c r="F9" s="82" t="n"/>
      <c r="G9" s="82" t="n"/>
      <c r="H9" s="82" t="n"/>
      <c r="I9" s="82" t="n"/>
      <c r="J9" s="82" t="n"/>
    </row>
    <row r="10" ht="42" customHeight="1" s="23">
      <c r="A10" s="83" t="inlineStr">
        <is>
          <t>S04</t>
        </is>
      </c>
      <c r="B10" s="81" t="n"/>
      <c r="C10" s="75" t="inlineStr">
        <is>
          <t>JERUSALEM GEEKS</t>
        </is>
      </c>
      <c r="D10" s="82" t="n"/>
      <c r="E10" s="82" t="n"/>
      <c r="F10" s="82" t="n"/>
      <c r="G10" s="82" t="n"/>
      <c r="H10" s="82" t="n"/>
      <c r="I10" s="82" t="n"/>
      <c r="J10" s="82" t="n"/>
    </row>
    <row r="11" ht="42" customHeight="1" s="23">
      <c r="A11" s="83" t="inlineStr">
        <is>
          <t>S04</t>
        </is>
      </c>
      <c r="B11" s="81" t="n"/>
      <c r="C11" s="75" t="inlineStr">
        <is>
          <t>JEREMIAH GEEKS</t>
        </is>
      </c>
      <c r="D11" s="82" t="n"/>
      <c r="E11" s="82" t="n"/>
      <c r="F11" s="82" t="n"/>
      <c r="G11" s="82" t="n"/>
      <c r="H11" s="82" t="n"/>
      <c r="I11" s="82" t="n"/>
      <c r="J11" s="82" t="n"/>
    </row>
    <row r="12" ht="42" customHeight="1" s="23">
      <c r="A12" s="83" t="inlineStr">
        <is>
          <t>S05</t>
        </is>
      </c>
      <c r="B12" s="81" t="n"/>
      <c r="C12" s="75" t="inlineStr">
        <is>
          <t>JERUSALEM GEEKS</t>
        </is>
      </c>
      <c r="D12" s="82" t="n"/>
      <c r="E12" s="82" t="n"/>
      <c r="F12" s="82" t="n"/>
      <c r="G12" s="82" t="n"/>
      <c r="H12" s="82" t="n"/>
      <c r="I12" s="82" t="n"/>
      <c r="J12" s="82" t="n"/>
    </row>
    <row r="13" ht="42" customHeight="1" s="23">
      <c r="A13" s="83" t="inlineStr">
        <is>
          <t>S05</t>
        </is>
      </c>
      <c r="B13" s="81" t="n"/>
      <c r="C13" s="75" t="inlineStr">
        <is>
          <t>JEREMIAH GEEKS</t>
        </is>
      </c>
      <c r="D13" s="82" t="n"/>
      <c r="E13" s="82" t="n"/>
      <c r="F13" s="82" t="n"/>
      <c r="G13" s="82" t="n"/>
      <c r="H13" s="82" t="n"/>
      <c r="I13" s="82" t="n"/>
      <c r="J13" s="82" t="n"/>
    </row>
    <row r="14" ht="42" customHeight="1" s="23">
      <c r="A14" s="83" t="inlineStr">
        <is>
          <t>S06</t>
        </is>
      </c>
      <c r="B14" s="81" t="n"/>
      <c r="C14" s="75" t="inlineStr">
        <is>
          <t>JERUSALEM GEEKS</t>
        </is>
      </c>
      <c r="D14" s="82" t="n"/>
      <c r="E14" s="82" t="n"/>
      <c r="F14" s="82" t="n"/>
      <c r="G14" s="82" t="n"/>
      <c r="H14" s="82" t="n"/>
      <c r="I14" s="82" t="n"/>
      <c r="J14" s="82" t="n"/>
    </row>
    <row r="15" ht="42" customHeight="1" s="23">
      <c r="A15" s="83" t="inlineStr">
        <is>
          <t>S06</t>
        </is>
      </c>
      <c r="B15" s="81" t="n"/>
      <c r="C15" s="75" t="inlineStr">
        <is>
          <t>JEREMIAH GEEKS</t>
        </is>
      </c>
      <c r="D15" s="82" t="n"/>
      <c r="E15" s="82" t="n"/>
      <c r="F15" s="82" t="n"/>
      <c r="G15" s="82" t="n"/>
      <c r="H15" s="82" t="n"/>
      <c r="I15" s="82" t="n"/>
      <c r="J15" s="82" t="n"/>
    </row>
    <row r="16" ht="42" customHeight="1" s="23">
      <c r="A16" s="83" t="inlineStr">
        <is>
          <t>S07</t>
        </is>
      </c>
      <c r="B16" s="81" t="n"/>
      <c r="C16" s="75" t="inlineStr">
        <is>
          <t>JERUSALEM GEEKS</t>
        </is>
      </c>
      <c r="D16" s="82" t="n"/>
      <c r="E16" s="82" t="n"/>
      <c r="F16" s="82" t="n"/>
      <c r="G16" s="82" t="n"/>
      <c r="H16" s="82" t="n"/>
      <c r="I16" s="82" t="n"/>
      <c r="J16" s="82" t="n"/>
    </row>
    <row r="17" ht="42" customHeight="1" s="23">
      <c r="A17" s="83" t="inlineStr">
        <is>
          <t>S07</t>
        </is>
      </c>
      <c r="B17" s="81" t="n"/>
      <c r="C17" s="75" t="inlineStr">
        <is>
          <t>JEREMIAH GEEKS</t>
        </is>
      </c>
      <c r="D17" s="82" t="n"/>
      <c r="E17" s="82" t="n"/>
      <c r="F17" s="82" t="n"/>
      <c r="G17" s="82" t="n"/>
      <c r="H17" s="82" t="n"/>
      <c r="I17" s="82" t="n"/>
      <c r="J17" s="82" t="n"/>
    </row>
    <row r="18" ht="42" customHeight="1" s="23">
      <c r="A18" s="83" t="inlineStr">
        <is>
          <t>S08</t>
        </is>
      </c>
      <c r="B18" s="81" t="n"/>
      <c r="C18" s="75" t="inlineStr">
        <is>
          <t>JERUSALEM GEEKS</t>
        </is>
      </c>
      <c r="D18" s="82" t="n"/>
      <c r="E18" s="82" t="n"/>
      <c r="F18" s="82" t="n"/>
      <c r="G18" s="82" t="n"/>
      <c r="H18" s="82" t="n"/>
      <c r="I18" s="82" t="n"/>
      <c r="J18" s="82" t="n"/>
    </row>
    <row r="19" ht="42" customHeight="1" s="23">
      <c r="A19" s="83" t="inlineStr">
        <is>
          <t>S08</t>
        </is>
      </c>
      <c r="B19" s="81" t="n"/>
      <c r="C19" s="75" t="inlineStr">
        <is>
          <t>JEREMIAH GEEKS</t>
        </is>
      </c>
      <c r="D19" s="82" t="n"/>
      <c r="E19" s="82" t="n"/>
      <c r="F19" s="82" t="n"/>
      <c r="G19" s="82" t="n"/>
      <c r="H19" s="82" t="n"/>
      <c r="I19" s="82" t="n"/>
      <c r="J19" s="82" t="n"/>
    </row>
    <row r="20" ht="42" customHeight="1" s="23">
      <c r="A20" s="83" t="inlineStr">
        <is>
          <t>S09</t>
        </is>
      </c>
      <c r="B20" s="81" t="n"/>
      <c r="C20" s="75" t="inlineStr">
        <is>
          <t>JERUSALEM GEEKS</t>
        </is>
      </c>
      <c r="D20" s="82" t="n"/>
      <c r="E20" s="82" t="n"/>
      <c r="F20" s="82" t="n"/>
      <c r="G20" s="82" t="n"/>
      <c r="H20" s="82" t="n"/>
      <c r="I20" s="82" t="n"/>
      <c r="J20" s="82" t="n"/>
    </row>
    <row r="21" ht="42" customHeight="1" s="23">
      <c r="A21" s="83" t="inlineStr">
        <is>
          <t>S09</t>
        </is>
      </c>
      <c r="B21" s="81" t="n"/>
      <c r="C21" s="75" t="inlineStr">
        <is>
          <t>JEREMIAH GEEKS</t>
        </is>
      </c>
      <c r="D21" s="82" t="n"/>
      <c r="E21" s="82" t="n"/>
      <c r="F21" s="82" t="n"/>
      <c r="G21" s="82" t="n"/>
      <c r="H21" s="82" t="n"/>
      <c r="I21" s="82" t="n"/>
      <c r="J21" s="82" t="n"/>
    </row>
    <row r="22" ht="42" customHeight="1" s="23">
      <c r="A22" s="83" t="inlineStr">
        <is>
          <t>S10</t>
        </is>
      </c>
      <c r="B22" s="81" t="n"/>
      <c r="C22" s="75" t="inlineStr">
        <is>
          <t>JERUSALEM GEEKS</t>
        </is>
      </c>
      <c r="D22" s="82" t="n"/>
      <c r="E22" s="82" t="n"/>
      <c r="F22" s="82" t="n"/>
      <c r="G22" s="82" t="n"/>
      <c r="H22" s="82" t="n"/>
      <c r="I22" s="82" t="n"/>
      <c r="J22" s="82" t="n"/>
    </row>
    <row r="23" ht="42" customHeight="1" s="23">
      <c r="A23" s="83" t="inlineStr">
        <is>
          <t>S10</t>
        </is>
      </c>
      <c r="B23" s="81" t="n"/>
      <c r="C23" s="75" t="inlineStr">
        <is>
          <t>JEREMIAH GEEKS</t>
        </is>
      </c>
      <c r="D23" s="82" t="n"/>
      <c r="E23" s="82" t="n"/>
      <c r="F23" s="82" t="n"/>
      <c r="G23" s="82" t="n"/>
      <c r="H23" s="82" t="n"/>
      <c r="I23" s="82" t="n"/>
      <c r="J23" s="82" t="n"/>
    </row>
    <row r="24" ht="42" customHeight="1" s="23">
      <c r="A24" s="83" t="inlineStr">
        <is>
          <t>S11</t>
        </is>
      </c>
      <c r="B24" s="81" t="n"/>
      <c r="C24" s="75" t="inlineStr">
        <is>
          <t>JERUSALEM GEEKS</t>
        </is>
      </c>
      <c r="D24" s="82" t="n"/>
      <c r="E24" s="82" t="n"/>
      <c r="F24" s="82" t="n"/>
      <c r="G24" s="82" t="n"/>
      <c r="H24" s="82" t="n"/>
      <c r="I24" s="82" t="n"/>
      <c r="J24" s="82" t="n"/>
    </row>
    <row r="25" ht="42" customHeight="1" s="23">
      <c r="A25" s="83" t="inlineStr">
        <is>
          <t>S11</t>
        </is>
      </c>
      <c r="B25" s="81" t="n"/>
      <c r="C25" s="75" t="inlineStr">
        <is>
          <t>JEREMIAH GEEKS</t>
        </is>
      </c>
      <c r="D25" s="82" t="n"/>
      <c r="E25" s="82" t="n"/>
      <c r="F25" s="82" t="n"/>
      <c r="G25" s="82" t="n"/>
      <c r="H25" s="82" t="n"/>
      <c r="I25" s="82" t="n"/>
      <c r="J25" s="82" t="n"/>
    </row>
    <row r="26" ht="42" customHeight="1" s="23">
      <c r="A26" s="83" t="inlineStr">
        <is>
          <t>S12</t>
        </is>
      </c>
      <c r="B26" s="81" t="n"/>
      <c r="C26" s="75" t="inlineStr">
        <is>
          <t>JERUSALEM GEEKS</t>
        </is>
      </c>
      <c r="D26" s="82" t="n"/>
      <c r="E26" s="82" t="n"/>
      <c r="F26" s="82" t="n"/>
      <c r="G26" s="82" t="n"/>
      <c r="H26" s="82" t="n"/>
      <c r="I26" s="82" t="n"/>
      <c r="J26" s="82" t="n"/>
    </row>
    <row r="27" ht="42" customHeight="1" s="23">
      <c r="A27" s="83" t="inlineStr">
        <is>
          <t>S12</t>
        </is>
      </c>
      <c r="B27" s="81" t="n"/>
      <c r="C27" s="75" t="inlineStr">
        <is>
          <t>JEREMIAH GEEKS</t>
        </is>
      </c>
      <c r="D27" s="82" t="n"/>
      <c r="E27" s="82" t="n"/>
      <c r="F27" s="82" t="n"/>
      <c r="G27" s="82" t="n"/>
      <c r="H27" s="82" t="n"/>
      <c r="I27" s="82" t="n"/>
      <c r="J27" s="82" t="n"/>
    </row>
    <row r="28" ht="42" customHeight="1" s="23">
      <c r="A28" s="83" t="inlineStr">
        <is>
          <t>S13</t>
        </is>
      </c>
      <c r="B28" s="81" t="n"/>
      <c r="C28" s="75" t="inlineStr">
        <is>
          <t>JERUSALEM GEEKS</t>
        </is>
      </c>
      <c r="D28" s="82" t="n"/>
      <c r="E28" s="82" t="n"/>
      <c r="F28" s="82" t="n"/>
      <c r="G28" s="82" t="n"/>
      <c r="H28" s="82" t="n"/>
      <c r="I28" s="82" t="n"/>
      <c r="J28" s="82" t="n"/>
    </row>
    <row r="29" ht="42" customHeight="1" s="23">
      <c r="A29" s="83" t="inlineStr">
        <is>
          <t>S13</t>
        </is>
      </c>
      <c r="B29" s="81" t="n"/>
      <c r="C29" s="75" t="inlineStr">
        <is>
          <t>JEREMIAH GEEKS</t>
        </is>
      </c>
      <c r="D29" s="82" t="n"/>
      <c r="E29" s="82" t="n"/>
      <c r="F29" s="82" t="n"/>
      <c r="G29" s="82" t="n"/>
      <c r="H29" s="82" t="n"/>
      <c r="I29" s="82" t="n"/>
      <c r="J29" s="82" t="n"/>
    </row>
    <row r="30" ht="42" customHeight="1" s="23">
      <c r="A30" s="83" t="inlineStr">
        <is>
          <t>S14</t>
        </is>
      </c>
      <c r="B30" s="81" t="n"/>
      <c r="C30" s="75" t="inlineStr">
        <is>
          <t>JERUSALEM GEEKS</t>
        </is>
      </c>
      <c r="D30" s="82" t="n"/>
      <c r="E30" s="82" t="n"/>
      <c r="F30" s="82" t="n"/>
      <c r="G30" s="82" t="n"/>
      <c r="H30" s="82" t="n"/>
      <c r="I30" s="82" t="n"/>
      <c r="J30" s="82" t="n"/>
    </row>
    <row r="31" ht="42" customHeight="1" s="23">
      <c r="A31" s="83" t="inlineStr">
        <is>
          <t>S14</t>
        </is>
      </c>
      <c r="B31" s="81" t="n"/>
      <c r="C31" s="75" t="inlineStr">
        <is>
          <t>JEREMIAH GEEKS</t>
        </is>
      </c>
      <c r="D31" s="82" t="n"/>
      <c r="E31" s="82" t="n"/>
      <c r="F31" s="82" t="n"/>
      <c r="G31" s="82" t="n"/>
      <c r="H31" s="82" t="n"/>
      <c r="I31" s="82" t="n"/>
      <c r="J31" s="82" t="n"/>
    </row>
    <row r="32" ht="42" customHeight="1" s="23">
      <c r="A32" s="83" t="inlineStr">
        <is>
          <t>S15</t>
        </is>
      </c>
      <c r="B32" s="81" t="n"/>
      <c r="C32" s="75" t="inlineStr">
        <is>
          <t>JERUSALEM GEEKS</t>
        </is>
      </c>
      <c r="D32" s="82" t="n"/>
      <c r="E32" s="82" t="n"/>
      <c r="F32" s="82" t="n"/>
      <c r="G32" s="82" t="n"/>
      <c r="H32" s="82" t="n"/>
      <c r="I32" s="82" t="n"/>
      <c r="J32" s="82" t="n"/>
    </row>
    <row r="33" ht="42" customHeight="1" s="23">
      <c r="A33" s="83" t="inlineStr">
        <is>
          <t>S15</t>
        </is>
      </c>
      <c r="B33" s="81" t="n"/>
      <c r="C33" s="75" t="inlineStr">
        <is>
          <t>JEREMIAH GEEKS</t>
        </is>
      </c>
      <c r="D33" s="82" t="n"/>
      <c r="E33" s="82" t="n"/>
      <c r="F33" s="82" t="n"/>
      <c r="G33" s="82" t="n"/>
      <c r="H33" s="82" t="n"/>
      <c r="I33" s="82" t="n"/>
      <c r="J33" s="82" t="n"/>
    </row>
    <row r="34" ht="42" customHeight="1" s="23">
      <c r="A34" s="83" t="inlineStr">
        <is>
          <t>S16</t>
        </is>
      </c>
      <c r="B34" s="81" t="n"/>
      <c r="C34" s="75" t="inlineStr">
        <is>
          <t>JERUSALEM GEEKS</t>
        </is>
      </c>
      <c r="D34" s="82" t="n"/>
      <c r="E34" s="82" t="n"/>
      <c r="F34" s="82" t="n"/>
      <c r="G34" s="82" t="n"/>
      <c r="H34" s="82" t="n"/>
      <c r="I34" s="82" t="n"/>
      <c r="J34" s="82" t="n"/>
    </row>
    <row r="35" ht="42" customHeight="1" s="23">
      <c r="A35" s="83" t="inlineStr">
        <is>
          <t>S16</t>
        </is>
      </c>
      <c r="B35" s="81" t="n"/>
      <c r="C35" s="75" t="inlineStr">
        <is>
          <t>JEREMIAH GEEKS</t>
        </is>
      </c>
      <c r="D35" s="82" t="n"/>
      <c r="E35" s="82" t="n"/>
      <c r="F35" s="82" t="n"/>
      <c r="G35" s="82" t="n"/>
      <c r="H35" s="82" t="n"/>
      <c r="I35" s="82" t="n"/>
      <c r="J35" s="82" t="n"/>
    </row>
    <row r="36" ht="42" customHeight="1" s="23">
      <c r="A36" s="83" t="inlineStr">
        <is>
          <t>S17</t>
        </is>
      </c>
      <c r="B36" s="81" t="n"/>
      <c r="C36" s="75" t="inlineStr">
        <is>
          <t>JERUSALEM GEEKS</t>
        </is>
      </c>
      <c r="D36" s="82" t="n"/>
      <c r="E36" s="82" t="n"/>
      <c r="F36" s="82" t="n"/>
      <c r="G36" s="82" t="n"/>
      <c r="H36" s="82" t="n"/>
      <c r="I36" s="82" t="n"/>
      <c r="J36" s="82" t="n"/>
    </row>
    <row r="37" ht="42" customHeight="1" s="23">
      <c r="A37" s="83" t="inlineStr">
        <is>
          <t>S17</t>
        </is>
      </c>
      <c r="B37" s="81" t="n"/>
      <c r="C37" s="75" t="inlineStr">
        <is>
          <t>JEREMIAH GEEKS</t>
        </is>
      </c>
      <c r="D37" s="82" t="n"/>
      <c r="E37" s="82" t="n"/>
      <c r="F37" s="82" t="n"/>
      <c r="G37" s="82" t="n"/>
      <c r="H37" s="82" t="n"/>
      <c r="I37" s="82" t="n"/>
      <c r="J37" s="82" t="n"/>
    </row>
    <row r="38" ht="42" customHeight="1" s="23">
      <c r="A38" s="83" t="inlineStr">
        <is>
          <t>S18</t>
        </is>
      </c>
      <c r="B38" s="81" t="n"/>
      <c r="C38" s="75" t="inlineStr">
        <is>
          <t>JERUSALEM GEEKS</t>
        </is>
      </c>
      <c r="D38" s="82" t="n"/>
      <c r="E38" s="82" t="n"/>
      <c r="F38" s="82" t="n"/>
      <c r="G38" s="82" t="n"/>
      <c r="H38" s="82" t="n"/>
      <c r="I38" s="82" t="n"/>
      <c r="J38" s="82" t="n"/>
    </row>
    <row r="39" ht="42" customHeight="1" s="23">
      <c r="A39" s="83" t="inlineStr">
        <is>
          <t>S18</t>
        </is>
      </c>
      <c r="B39" s="81" t="n"/>
      <c r="C39" s="75" t="inlineStr">
        <is>
          <t>JEREMIAH GEEKS</t>
        </is>
      </c>
      <c r="D39" s="82" t="n"/>
      <c r="E39" s="82" t="n"/>
      <c r="F39" s="82" t="n"/>
      <c r="G39" s="82" t="n"/>
      <c r="H39" s="82" t="n"/>
      <c r="I39" s="82" t="n"/>
      <c r="J39" s="82" t="n"/>
    </row>
    <row r="40" ht="42" customHeight="1" s="23">
      <c r="A40" s="83" t="inlineStr">
        <is>
          <t>S19</t>
        </is>
      </c>
      <c r="B40" s="81" t="n"/>
      <c r="C40" s="75" t="inlineStr">
        <is>
          <t>JERUSALEM GEEKS</t>
        </is>
      </c>
      <c r="D40" s="82" t="n"/>
      <c r="E40" s="82" t="n"/>
      <c r="F40" s="82" t="n"/>
      <c r="G40" s="82" t="n"/>
      <c r="H40" s="82" t="n"/>
      <c r="I40" s="82" t="n"/>
      <c r="J40" s="82" t="n"/>
    </row>
    <row r="41" ht="42" customHeight="1" s="23">
      <c r="A41" s="83" t="inlineStr">
        <is>
          <t>S19</t>
        </is>
      </c>
      <c r="B41" s="81" t="n"/>
      <c r="C41" s="75" t="inlineStr">
        <is>
          <t>JEREMIAH GEEKS</t>
        </is>
      </c>
      <c r="D41" s="82" t="n"/>
      <c r="E41" s="82" t="n"/>
      <c r="F41" s="82" t="n"/>
      <c r="G41" s="82" t="n"/>
      <c r="H41" s="82" t="n"/>
      <c r="I41" s="82" t="n"/>
      <c r="J41" s="82" t="n"/>
    </row>
    <row r="42" ht="42" customHeight="1" s="23">
      <c r="A42" s="83" t="inlineStr">
        <is>
          <t>S20</t>
        </is>
      </c>
      <c r="B42" s="81" t="n"/>
      <c r="C42" s="75" t="inlineStr">
        <is>
          <t>JERUSALEM GEEKS</t>
        </is>
      </c>
      <c r="D42" s="82" t="n"/>
      <c r="E42" s="82" t="n"/>
      <c r="F42" s="82" t="n"/>
      <c r="G42" s="82" t="n"/>
      <c r="H42" s="82" t="n"/>
      <c r="I42" s="82" t="n"/>
      <c r="J42" s="82" t="n"/>
    </row>
    <row r="43" ht="42" customHeight="1" s="23">
      <c r="A43" s="83" t="inlineStr">
        <is>
          <t>S20</t>
        </is>
      </c>
      <c r="B43" s="81" t="n"/>
      <c r="C43" s="75" t="inlineStr">
        <is>
          <t>JEREMIAH GEEKS</t>
        </is>
      </c>
      <c r="D43" s="82" t="n"/>
      <c r="E43" s="82" t="n"/>
      <c r="F43" s="82" t="n"/>
      <c r="G43" s="82" t="n"/>
      <c r="H43" s="82" t="n"/>
      <c r="I43" s="82" t="n"/>
      <c r="J43" s="82" t="n"/>
    </row>
    <row r="44" ht="42" customHeight="1" s="23">
      <c r="A44" s="83" t="inlineStr">
        <is>
          <t>S21</t>
        </is>
      </c>
      <c r="B44" s="81" t="n"/>
      <c r="C44" s="75" t="inlineStr">
        <is>
          <t>JERUSALEM GEEKS</t>
        </is>
      </c>
      <c r="D44" s="82" t="n"/>
      <c r="E44" s="82" t="n"/>
      <c r="F44" s="82" t="n"/>
      <c r="G44" s="82" t="n"/>
      <c r="H44" s="82" t="n"/>
      <c r="I44" s="82" t="n"/>
      <c r="J44" s="82" t="n"/>
    </row>
    <row r="45" ht="42" customHeight="1" s="23">
      <c r="A45" s="83" t="inlineStr">
        <is>
          <t>S21</t>
        </is>
      </c>
      <c r="B45" s="81" t="n"/>
      <c r="C45" s="75" t="inlineStr">
        <is>
          <t>JEREMIAH GEEKS</t>
        </is>
      </c>
      <c r="D45" s="82" t="n"/>
      <c r="E45" s="82" t="n"/>
      <c r="F45" s="82" t="n"/>
      <c r="G45" s="82" t="n"/>
      <c r="H45" s="82" t="n"/>
      <c r="I45" s="82" t="n"/>
      <c r="J45" s="82" t="n"/>
    </row>
    <row r="46" ht="42" customHeight="1" s="23">
      <c r="A46" s="83" t="inlineStr">
        <is>
          <t>S22</t>
        </is>
      </c>
      <c r="B46" s="81" t="n"/>
      <c r="C46" s="75" t="inlineStr">
        <is>
          <t>JERUSALEM GEEKS</t>
        </is>
      </c>
      <c r="D46" s="82" t="n"/>
      <c r="E46" s="82" t="n"/>
      <c r="F46" s="82" t="n"/>
      <c r="G46" s="82" t="n"/>
      <c r="H46" s="82" t="n"/>
      <c r="I46" s="82" t="n"/>
      <c r="J46" s="82" t="n"/>
    </row>
    <row r="47" ht="42" customHeight="1" s="23">
      <c r="A47" s="83" t="inlineStr">
        <is>
          <t>S22</t>
        </is>
      </c>
      <c r="B47" s="81" t="n"/>
      <c r="C47" s="75" t="inlineStr">
        <is>
          <t>JEREMIAH GEEKS</t>
        </is>
      </c>
      <c r="D47" s="82" t="n"/>
      <c r="E47" s="82" t="n"/>
      <c r="F47" s="82" t="n"/>
      <c r="G47" s="82" t="n"/>
      <c r="H47" s="82" t="n"/>
      <c r="I47" s="82" t="n"/>
      <c r="J47" s="82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2026-09-12T01:14:19Z</dcterms:created>
  <dcterms:modified xmlns:dcterms="http://purl.org/dc/terms/" xmlns:xsi="http://www.w3.org/2001/XMLSchema-instance" xsi:type="dcterms:W3CDTF">2026-09-12T02:16:08Z</dcterms:modified>
</cp:coreProperties>
</file>