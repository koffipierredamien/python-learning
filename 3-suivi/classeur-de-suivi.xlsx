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Mode-emploi" sheetId="1" state="visible" r:id="rId1"/>
    <sheet name="01_Apprenants" sheetId="2" state="visible" r:id="rId2"/>
    <sheet name="02_Diagnostic" sheetId="3" state="visible" r:id="rId3"/>
    <sheet name="03_Presence" sheetId="4" state="visible" r:id="rId4"/>
    <sheet name="04_Suivi-seances" sheetId="5" state="visible" r:id="rId5"/>
    <sheet name="05_Observations" sheetId="6" state="visible" r:id="rId6"/>
    <sheet name="06_Binomes" sheetId="7" state="visible" r:id="rId7"/>
    <sheet name="07_Badges-Grades" sheetId="8" state="visible" r:id="rId8"/>
    <sheet name="08_Passeport" sheetId="9" state="visible" r:id="rId9"/>
    <sheet name="09_Checklist-S01" sheetId="10" state="visible" r:id="rId10"/>
    <sheet name="10_Journal-enseignants" sheetId="11" state="visible" r:id="rId11"/>
    <sheet name="11_Materiel" sheetId="12" state="visible" r:id="rId12"/>
    <sheet name="12_Tableau-de-bord" sheetId="13" state="visible" r:id="rId13"/>
    <sheet name="13_List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555555"/>
      <sz val="8.5"/>
    </font>
    <font>
      <name val="Arial"/>
      <b val="1"/>
      <color rgb="00FFFFFF"/>
      <sz val="9"/>
    </font>
    <font>
      <name val="Arial"/>
      <sz val="10"/>
    </font>
    <font>
      <name val="Arial"/>
      <b val="1"/>
      <sz val="10"/>
    </font>
    <font>
      <name val="Arial"/>
      <b val="1"/>
      <color rgb="006B2D8F"/>
      <sz val="10"/>
    </font>
    <font>
      <name val="Arial"/>
      <color rgb="000B6B2E"/>
      <sz val="10"/>
    </font>
    <font>
      <name val="Arial"/>
      <i val="1"/>
      <color rgb="00888888"/>
      <sz val="10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6B2D8F"/>
      </patternFill>
    </fill>
    <fill>
      <patternFill patternType="solid">
        <fgColor rgb="00FFF6D8"/>
      </patternFill>
    </fill>
    <fill>
      <patternFill patternType="solid">
        <fgColor rgb="00FFFFFF"/>
      </patternFill>
    </fill>
    <fill>
      <patternFill patternType="solid">
        <fgColor rgb="00FDECEC"/>
      </patternFill>
    </fill>
    <fill>
      <patternFill patternType="solid">
        <fgColor rgb="00FFF0DF"/>
      </patternFill>
    </fill>
    <fill>
      <patternFill patternType="solid">
        <fgColor rgb="00EAF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8" fillId="4" borderId="1" pivotButton="0" quotePrefix="0" xfId="0"/>
    <xf numFmtId="164" fontId="8" fillId="4" borderId="1" pivotButton="0" quotePrefix="0" xfId="0"/>
    <xf numFmtId="0" fontId="7" fillId="0" borderId="1" pivotButton="0" quotePrefix="0" xfId="0"/>
    <xf numFmtId="164" fontId="8" fillId="0" borderId="1" pivotButton="0" quotePrefix="0" xfId="0"/>
    <xf numFmtId="0" fontId="4" fillId="0" borderId="1" pivotButton="0" quotePrefix="0" xfId="0"/>
    <xf numFmtId="0" fontId="4" fillId="4" borderId="1" pivotButton="0" quotePrefix="0" xfId="0"/>
    <xf numFmtId="164" fontId="4" fillId="4" borderId="1" pivotButton="0" quotePrefix="0" xfId="0"/>
    <xf numFmtId="164" fontId="4" fillId="0" borderId="1" pivotButton="0" quotePrefix="0" xfId="0"/>
    <xf numFmtId="0" fontId="7" fillId="5" borderId="1" pivotButton="0" quotePrefix="0" xfId="0"/>
    <xf numFmtId="0" fontId="4" fillId="4" borderId="1" applyAlignment="1" pivotButton="0" quotePrefix="0" xfId="0">
      <alignment horizontal="center" vertical="center"/>
    </xf>
    <xf numFmtId="9" fontId="7" fillId="0" borderId="1" pivotButton="0" quotePrefix="0" xfId="0"/>
    <xf numFmtId="164" fontId="8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6" borderId="1" pivotButton="0" quotePrefix="0" xfId="0"/>
    <xf numFmtId="0" fontId="4" fillId="0" borderId="1" applyAlignment="1" pivotButton="0" quotePrefix="0" xfId="0">
      <alignment vertical="top" wrapText="1"/>
    </xf>
    <xf numFmtId="0" fontId="5" fillId="7" borderId="1" pivotButton="0" quotePrefix="0" xfId="0"/>
    <xf numFmtId="0" fontId="5" fillId="4" borderId="1" pivotButton="0" quotePrefix="0" xfId="0"/>
    <xf numFmtId="0" fontId="5" fillId="8" borderId="1" pivotButton="0" quotePrefix="0" xfId="0"/>
    <xf numFmtId="0" fontId="5" fillId="0" borderId="1" pivotButton="0" quotePrefix="0" xfId="0"/>
    <xf numFmtId="0" fontId="7" fillId="0" borderId="0" pivotButton="0" quotePrefix="0" xfId="0"/>
    <xf numFmtId="0" fontId="9" fillId="3" borderId="0" pivotButton="0" quotePrefix="0" xfId="0"/>
    <xf numFmtId="0" fontId="3" fillId="3" borderId="0" pivotButton="0" quotePrefix="0" xfId="0"/>
    <xf numFmtId="0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9" fontId="7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5">
    <dxf>
      <fill>
        <patternFill patternType="solid">
          <fgColor rgb="00FDECEC"/>
        </patternFill>
      </fill>
    </dxf>
    <dxf>
      <fill>
        <patternFill patternType="solid">
          <fgColor rgb="00E8F1FC"/>
        </patternFill>
      </fill>
    </dxf>
    <dxf>
      <font>
        <name val="Arial"/>
        <b val="1"/>
        <color rgb="00A11111"/>
      </font>
      <fill>
        <patternFill patternType="solid">
          <fgColor rgb="00FDECEC"/>
        </patternFill>
      </fill>
    </dxf>
    <dxf>
      <font>
        <name val="Arial"/>
        <b val="1"/>
        <color rgb="00A11111"/>
      </font>
      <fill>
        <patternFill patternType="solid">
          <fgColor rgb="00FFC7C7"/>
        </patternFill>
      </fill>
    </dxf>
    <dxf>
      <fill>
        <patternFill patternType="solid">
          <fgColor rgb="00EAF7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 ht="26" customHeight="1">
      <c r="A1" s="1" t="inlineStr">
        <is>
          <t>CLASSEUR DE SUIVI  -  JERUSALEM GEEKS &amp; JEREMIAH GEEKS</t>
        </is>
      </c>
    </row>
    <row r="2" ht="15" customHeight="1">
      <c r="A2" s="2" t="inlineStr"/>
      <c r="B2" s="3" t="inlineStr"/>
    </row>
    <row r="3" ht="28" customHeight="1">
      <c r="A3" s="4" t="inlineStr">
        <is>
          <t>A QUOI SERT CE CLASSEUR</t>
        </is>
      </c>
      <c r="B3" s="3" t="inlineStr">
        <is>
          <t>Il rassemble tout ce que les deux enseignants doivent savoir et noter : qui sont les eleves, comment les joindre, qui etait la, qui progresse, qui decroche, et ce qui reste a preparer.</t>
        </is>
      </c>
    </row>
    <row r="4" ht="28" customHeight="1">
      <c r="A4" s="4" t="inlineStr">
        <is>
          <t>COMMENT L'OUVRIR DANS GOOGLE SHEETS</t>
        </is>
      </c>
      <c r="B4" s="3" t="inlineStr">
        <is>
          <t>Google Drive &gt; Nouveau &gt; Importation de fichier &gt; choisir ce fichier .xlsx. Puis Fichier &gt; Enregistrer au format Google Sheets. Les menus deroulants et les calculs sont conserves.</t>
        </is>
      </c>
    </row>
    <row r="5" ht="28" customHeight="1">
      <c r="A5" s="4" t="inlineStr">
        <is>
          <t>QUI PEUT LE VOIR</t>
        </is>
      </c>
      <c r="B5" s="3" t="inlineStr">
        <is>
          <t>Partagez-le uniquement avec les deux enseignants (Partager &gt; acces restreint). Il contient les coordonnees de mineurs : il ne doit jamais etre publie ni partage par lien public.</t>
        </is>
      </c>
    </row>
    <row r="6" ht="15" customHeight="1">
      <c r="A6" s="2" t="inlineStr"/>
      <c r="B6" s="3" t="inlineStr"/>
    </row>
    <row r="7" ht="15" customHeight="1">
      <c r="A7" s="4" t="inlineStr">
        <is>
          <t>LES COULEURS</t>
        </is>
      </c>
      <c r="B7" s="3" t="inlineStr"/>
    </row>
    <row r="8" ht="15" customHeight="1">
      <c r="A8" s="5" t="inlineStr">
        <is>
          <t xml:space="preserve">   Fond jaune</t>
        </is>
      </c>
      <c r="B8" s="3" t="inlineStr">
        <is>
          <t>Cellules a remplir a la main.</t>
        </is>
      </c>
    </row>
    <row r="9" ht="15" customHeight="1">
      <c r="A9" s="5" t="inlineStr">
        <is>
          <t xml:space="preserve">   Texte vert</t>
        </is>
      </c>
      <c r="B9" s="3" t="inlineStr">
        <is>
          <t>Cellules calculees automatiquement : n'ecrivez pas dedans, vous casseriez le calcul.</t>
        </is>
      </c>
    </row>
    <row r="10" ht="15" customHeight="1">
      <c r="A10" s="5" t="inlineStr">
        <is>
          <t xml:space="preserve">   Texte gris italique</t>
        </is>
      </c>
      <c r="B10" s="3" t="inlineStr">
        <is>
          <t>Ligne d'exemple. Ecrivez par-dessus avec votre premier eleve.</t>
        </is>
      </c>
    </row>
    <row r="11" ht="15" customHeight="1">
      <c r="A11" s="2" t="inlineStr"/>
      <c r="B11" s="3" t="inlineStr"/>
    </row>
    <row r="12" ht="28" customHeight="1">
      <c r="A12" s="4" t="inlineStr">
        <is>
          <t>LA REGLE D'OR</t>
        </is>
      </c>
      <c r="B12" s="3" t="inlineStr">
        <is>
          <t>On ne saisit les noms QU'UNE SEULE FOIS, dans l'onglet 01_Apprenants. Tous les autres onglets les recopient tout seuls. Si un nom est vide ailleurs, c'est qu'il manque dans 01.</t>
        </is>
      </c>
    </row>
    <row r="13" ht="15" customHeight="1">
      <c r="A13" s="2" t="inlineStr"/>
      <c r="B13" s="3" t="inlineStr"/>
    </row>
    <row r="14" ht="15" customHeight="1">
      <c r="A14" s="4" t="inlineStr">
        <is>
          <t>LES ONGLETS</t>
        </is>
      </c>
      <c r="B14" s="3" t="inlineStr"/>
    </row>
    <row r="15" ht="15" customHeight="1">
      <c r="A15" s="5" t="inlineStr">
        <is>
          <t xml:space="preserve">   01_Apprenants</t>
        </is>
      </c>
      <c r="B15" s="3" t="inlineStr">
        <is>
          <t>La fiche complete de chaque eleve et les contacts des responsables. LE POINT DE DEPART.</t>
        </is>
      </c>
    </row>
    <row r="16" ht="28" customHeight="1">
      <c r="A16" s="5" t="inlineStr">
        <is>
          <t xml:space="preserve">   02_Diagnostic</t>
        </is>
      </c>
      <c r="B16" s="3" t="inlineStr">
        <is>
          <t>Les resultats du Test de Decollage et le profil P0 a P3. Interne aux enseignants : jamais communique.</t>
        </is>
      </c>
    </row>
    <row r="17" ht="15" customHeight="1">
      <c r="A17" s="5" t="inlineStr">
        <is>
          <t xml:space="preserve">   03_Presence</t>
        </is>
      </c>
      <c r="B17" s="3" t="inlineStr">
        <is>
          <t>La feuille de presence des 22 seances, avec le taux calcule.</t>
        </is>
      </c>
    </row>
    <row r="18" ht="28" customHeight="1">
      <c r="A18" s="5" t="inlineStr">
        <is>
          <t xml:space="preserve">   04_Suivi-seances</t>
        </is>
      </c>
      <c r="B18" s="3" t="inlineStr">
        <is>
          <t>Ce que chaque eleve a produit a chaque seance, et sur quelle piste. La colonne ALERTE se declenche toute seule.</t>
        </is>
      </c>
    </row>
    <row r="19" ht="15" customHeight="1">
      <c r="A19" s="5" t="inlineStr">
        <is>
          <t xml:space="preserve">   05_Observations</t>
        </is>
      </c>
      <c r="B19" s="3" t="inlineStr">
        <is>
          <t>Le journal : une ligne par fait marquant, avec l'action decidee et si elle a ete faite.</t>
        </is>
      </c>
    </row>
    <row r="20" ht="15" customHeight="1">
      <c r="A20" s="5" t="inlineStr">
        <is>
          <t xml:space="preserve">   06_Binomes</t>
        </is>
      </c>
      <c r="B20" s="3" t="inlineStr">
        <is>
          <t>Qui travaille avec qui, a quel poste, seance par seance.</t>
        </is>
      </c>
    </row>
    <row r="21" ht="15" customHeight="1">
      <c r="A21" s="5" t="inlineStr">
        <is>
          <t xml:space="preserve">   07_Badges-Grades</t>
        </is>
      </c>
      <c r="B21" s="3" t="inlineStr">
        <is>
          <t>Les badges distribues et le grade atteint.</t>
        </is>
      </c>
    </row>
    <row r="22" ht="15" customHeight="1">
      <c r="A22" s="5" t="inlineStr">
        <is>
          <t xml:space="preserve">   08_Passeport</t>
        </is>
      </c>
      <c r="B22" s="3" t="inlineStr">
        <is>
          <t>Les 12 gestes machine, valides oralement. Remplace le livret papier.</t>
        </is>
      </c>
    </row>
    <row r="23" ht="15" customHeight="1">
      <c r="A23" s="5" t="inlineStr">
        <is>
          <t xml:space="preserve">   09_Checklist-S01</t>
        </is>
      </c>
      <c r="B23" s="3" t="inlineStr">
        <is>
          <t>Tout ce qu'il reste a preparer avant la seance 1, avec un responsable et une date.</t>
        </is>
      </c>
    </row>
    <row r="24" ht="15" customHeight="1">
      <c r="A24" s="5" t="inlineStr">
        <is>
          <t xml:space="preserve">   10_Journal-enseignants</t>
        </is>
      </c>
      <c r="B24" s="3" t="inlineStr">
        <is>
          <t>La revue de 15 minutes apres chaque seance : 3 questions, et ce qu'on decide.</t>
        </is>
      </c>
    </row>
    <row r="25" ht="15" customHeight="1">
      <c r="A25" s="5" t="inlineStr">
        <is>
          <t xml:space="preserve">   11_Materiel</t>
        </is>
      </c>
      <c r="B25" s="3" t="inlineStr">
        <is>
          <t>L'inventaire : ce qui est imprime, achete, installe.</t>
        </is>
      </c>
    </row>
    <row r="26" ht="15" customHeight="1">
      <c r="A26" s="5" t="inlineStr">
        <is>
          <t xml:space="preserve">   12_Tableau-de-bord</t>
        </is>
      </c>
      <c r="B26" s="3" t="inlineStr">
        <is>
          <t>Les indicateurs calcules automatiquement. A regarder une fois par mois.</t>
        </is>
      </c>
    </row>
    <row r="27" ht="15" customHeight="1">
      <c r="A27" s="5" t="inlineStr">
        <is>
          <t xml:space="preserve">   13_Listes</t>
        </is>
      </c>
      <c r="B27" s="3" t="inlineStr">
        <is>
          <t>Les valeurs des menus deroulants. Modifiable si besoin.</t>
        </is>
      </c>
    </row>
    <row r="28" ht="15" customHeight="1">
      <c r="A28" s="2" t="inlineStr"/>
      <c r="B28" s="3" t="inlineStr"/>
    </row>
    <row r="29" ht="28" customHeight="1">
      <c r="A29" s="4" t="inlineStr">
        <is>
          <t>LE DECLENCHEUR A SURVEILLER</t>
        </is>
      </c>
      <c r="B29" s="3" t="inlineStr">
        <is>
          <t>Dans 04_Suivi-seances, la colonne ALERTE passe a OUI des qu'un eleve cumule deux seances de suite sans production. Cet eleve entre sur la LISTE DES 10 MINUTES : le Mecanicien lui consacre 10 minutes en tete-a-tete a la seance suivante. C'est un rendez-vous, pas une punition -- et c'est ce qui empeche un decrochage silencieux de devenir un abandon.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3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16" customWidth="1" min="4" max="4"/>
    <col width="15" customWidth="1" min="5" max="5"/>
    <col width="7" customWidth="1" min="6" max="6"/>
    <col width="16" customWidth="1" min="7" max="7"/>
    <col width="13" customWidth="1" min="8" max="8"/>
    <col width="14" customWidth="1" min="9" max="9"/>
    <col width="20" customWidth="1" min="10" max="10"/>
    <col width="20" customWidth="1" min="11" max="11"/>
    <col width="12" customWidth="1" min="12" max="12"/>
    <col width="14" customWidth="1" min="13" max="13"/>
    <col width="10" customWidth="1" min="14" max="14"/>
    <col width="20" customWidth="1" min="15" max="15"/>
    <col width="20" customWidth="1" min="16" max="16"/>
    <col width="12" customWidth="1" min="17" max="17"/>
    <col width="14" customWidth="1" min="18" max="18"/>
    <col width="22" customWidth="1" min="19" max="19"/>
    <col width="24" customWidth="1" min="20" max="20"/>
    <col width="22" customWidth="1" min="21" max="21"/>
    <col width="12" customWidth="1" min="22" max="22"/>
    <col width="16" customWidth="1" min="23" max="23"/>
    <col width="14" customWidth="1" min="24" max="24"/>
    <col width="16" customWidth="1" min="25" max="25"/>
    <col width="14" customWidth="1" min="26" max="26"/>
    <col width="11" customWidth="1" min="27" max="27"/>
    <col width="30" customWidth="1" min="28" max="28"/>
  </cols>
  <sheetData>
    <row r="1" ht="24" customHeight="1">
      <c r="A1" s="1" t="inlineStr">
        <is>
          <t>FICHE DES APPRENANTS</t>
        </is>
      </c>
    </row>
    <row r="2">
      <c r="A2" s="6" t="inlineStr">
        <is>
          <t>On saisit les noms ICI et nulle part ailleurs : les autres onglets les recopient automatiquement. Ecrivez par-dessus la ligne d'exemple.</t>
        </is>
      </c>
    </row>
    <row r="3" ht="30" customHeight="1">
      <c r="A3" s="7" t="inlineStr">
        <is>
          <t>N°</t>
        </is>
      </c>
      <c r="B3" s="7" t="inlineStr">
        <is>
          <t>NOM</t>
        </is>
      </c>
      <c r="C3" s="7" t="inlineStr">
        <is>
          <t>Prenom</t>
        </is>
      </c>
      <c r="D3" s="7" t="inlineStr">
        <is>
          <t>Classe</t>
        </is>
      </c>
      <c r="E3" s="7" t="inlineStr">
        <is>
          <t>Date de naissance</t>
        </is>
      </c>
      <c r="F3" s="7" t="inlineStr">
        <is>
          <t>Age</t>
        </is>
      </c>
      <c r="G3" s="7" t="inlineStr">
        <is>
          <t>Ecole</t>
        </is>
      </c>
      <c r="H3" s="7" t="inlineStr">
        <is>
          <t>Niveau scolaire</t>
        </is>
      </c>
      <c r="I3" s="7" t="inlineStr">
        <is>
          <t>Tel. eleve</t>
        </is>
      </c>
      <c r="J3" s="7" t="inlineStr">
        <is>
          <t>Email eleve</t>
        </is>
      </c>
      <c r="K3" s="7" t="inlineStr">
        <is>
          <t>RESPONSABLE 1 - Nom</t>
        </is>
      </c>
      <c r="L3" s="7" t="inlineStr">
        <is>
          <t>Lien</t>
        </is>
      </c>
      <c r="M3" s="7" t="inlineStr">
        <is>
          <t>Telephone 1</t>
        </is>
      </c>
      <c r="N3" s="7" t="inlineStr">
        <is>
          <t>WhatsApp ?</t>
        </is>
      </c>
      <c r="O3" s="7" t="inlineStr">
        <is>
          <t>Email 1</t>
        </is>
      </c>
      <c r="P3" s="7" t="inlineStr">
        <is>
          <t>RESPONSABLE 2 - Nom</t>
        </is>
      </c>
      <c r="Q3" s="7" t="inlineStr">
        <is>
          <t>Lien</t>
        </is>
      </c>
      <c r="R3" s="7" t="inlineStr">
        <is>
          <t>Telephone 2</t>
        </is>
      </c>
      <c r="S3" s="7" t="inlineStr">
        <is>
          <t>Quartier / Adresse</t>
        </is>
      </c>
      <c r="T3" s="7" t="inlineStr">
        <is>
          <t>Contact d'urgence (nom + tel)</t>
        </is>
      </c>
      <c r="U3" s="7" t="inlineStr">
        <is>
          <t>Sante / allergies a connaitre</t>
        </is>
      </c>
      <c r="V3" s="7" t="inlineStr">
        <is>
          <t>Autorisation photo</t>
        </is>
      </c>
      <c r="W3" s="7" t="inlineStr">
        <is>
          <t>Ordinateur a la maison</t>
        </is>
      </c>
      <c r="X3" s="7" t="inlineStr">
        <is>
          <t>Internet a la maison</t>
        </is>
      </c>
      <c r="Y3" s="7" t="inlineStr">
        <is>
          <t>Comment vient-il ?</t>
        </is>
      </c>
      <c r="Z3" s="7" t="inlineStr">
        <is>
          <t>Date d'inscription</t>
        </is>
      </c>
      <c r="AA3" s="7" t="inlineStr">
        <is>
          <t>Statut</t>
        </is>
      </c>
      <c r="AB3" s="7" t="inlineStr">
        <is>
          <t>Remarques</t>
        </is>
      </c>
    </row>
    <row r="4">
      <c r="A4" s="8" t="n">
        <v>1</v>
      </c>
      <c r="B4" s="9" t="inlineStr">
        <is>
          <t>KOUASSI</t>
        </is>
      </c>
      <c r="C4" s="9" t="inlineStr">
        <is>
          <t>Awa</t>
        </is>
      </c>
      <c r="D4" s="9" t="inlineStr">
        <is>
          <t>Jerusalem Geeks</t>
        </is>
      </c>
      <c r="E4" s="10" t="inlineStr">
        <is>
          <t>12/03/2015</t>
        </is>
      </c>
      <c r="F4" s="11">
        <f>IF(E4="","",DATEDIF(E4,TODAY(),"Y"))</f>
        <v/>
      </c>
      <c r="G4" s="8" t="inlineStr">
        <is>
          <t>EPP Riviera</t>
        </is>
      </c>
      <c r="H4" s="8" t="inlineStr">
        <is>
          <t>CM2</t>
        </is>
      </c>
      <c r="I4" s="8" t="inlineStr"/>
      <c r="J4" s="8" t="inlineStr"/>
      <c r="K4" s="9" t="inlineStr">
        <is>
          <t>KOUASSI Marie</t>
        </is>
      </c>
      <c r="L4" s="8" t="inlineStr">
        <is>
          <t>Mere</t>
        </is>
      </c>
      <c r="M4" s="9" t="inlineStr">
        <is>
          <t>07 00 00 00 00</t>
        </is>
      </c>
      <c r="N4" s="8" t="inlineStr">
        <is>
          <t>Oui</t>
        </is>
      </c>
      <c r="O4" s="8" t="inlineStr">
        <is>
          <t>marie.k@exemple.com</t>
        </is>
      </c>
      <c r="P4" s="9" t="inlineStr">
        <is>
          <t>KOUASSI Jean</t>
        </is>
      </c>
      <c r="Q4" s="8" t="inlineStr">
        <is>
          <t>Pere</t>
        </is>
      </c>
      <c r="R4" s="9" t="inlineStr">
        <is>
          <t>05 00 00 00 00</t>
        </is>
      </c>
      <c r="S4" s="8" t="inlineStr">
        <is>
          <t>Riviera 2, rue des Jardins</t>
        </is>
      </c>
      <c r="T4" s="9" t="inlineStr">
        <is>
          <t>KOUASSI Marie - 07 00 00 00 00</t>
        </is>
      </c>
      <c r="U4" s="8" t="inlineStr">
        <is>
          <t>Asthme leger - inhalateur dans le sac</t>
        </is>
      </c>
      <c r="V4" s="9" t="inlineStr">
        <is>
          <t>Oui</t>
        </is>
      </c>
      <c r="W4" s="9" t="inlineStr">
        <is>
          <t>Oui partage</t>
        </is>
      </c>
      <c r="X4" s="9" t="inlineStr">
        <is>
          <t>Parfois</t>
        </is>
      </c>
      <c r="Y4" s="8" t="inlineStr">
        <is>
          <t>A pied avec sa soeur</t>
        </is>
      </c>
      <c r="Z4" s="12" t="inlineStr">
        <is>
          <t>05/09/2026</t>
        </is>
      </c>
      <c r="AA4" s="8" t="inlineStr">
        <is>
          <t>Actif</t>
        </is>
      </c>
      <c r="AB4" s="8" t="inlineStr">
        <is>
          <t>Tres timide, ne demande jamais d'aide</t>
        </is>
      </c>
    </row>
    <row r="5">
      <c r="A5" s="13" t="n">
        <v>2</v>
      </c>
      <c r="B5" s="14" t="n"/>
      <c r="C5" s="14" t="n"/>
      <c r="D5" s="14" t="n"/>
      <c r="E5" s="15" t="n"/>
      <c r="F5" s="11">
        <f>IF(E5="","",DATEDIF(E5,TODAY(),"Y"))</f>
        <v/>
      </c>
      <c r="G5" s="13" t="n"/>
      <c r="H5" s="13" t="n"/>
      <c r="I5" s="13" t="n"/>
      <c r="J5" s="13" t="n"/>
      <c r="K5" s="14" t="n"/>
      <c r="L5" s="13" t="n"/>
      <c r="M5" s="14" t="n"/>
      <c r="N5" s="13" t="n"/>
      <c r="O5" s="13" t="n"/>
      <c r="P5" s="14" t="n"/>
      <c r="Q5" s="13" t="n"/>
      <c r="R5" s="14" t="n"/>
      <c r="S5" s="13" t="n"/>
      <c r="T5" s="14" t="n"/>
      <c r="U5" s="13" t="n"/>
      <c r="V5" s="14" t="n"/>
      <c r="W5" s="14" t="n"/>
      <c r="X5" s="14" t="n"/>
      <c r="Y5" s="13" t="n"/>
      <c r="Z5" s="16" t="n"/>
      <c r="AA5" s="13" t="n"/>
      <c r="AB5" s="13" t="n"/>
    </row>
    <row r="6">
      <c r="A6" s="13" t="n">
        <v>3</v>
      </c>
      <c r="B6" s="14" t="n"/>
      <c r="C6" s="14" t="n"/>
      <c r="D6" s="14" t="n"/>
      <c r="E6" s="15" t="n"/>
      <c r="F6" s="11">
        <f>IF(E6="","",DATEDIF(E6,TODAY(),"Y"))</f>
        <v/>
      </c>
      <c r="G6" s="13" t="n"/>
      <c r="H6" s="13" t="n"/>
      <c r="I6" s="13" t="n"/>
      <c r="J6" s="13" t="n"/>
      <c r="K6" s="14" t="n"/>
      <c r="L6" s="13" t="n"/>
      <c r="M6" s="14" t="n"/>
      <c r="N6" s="13" t="n"/>
      <c r="O6" s="13" t="n"/>
      <c r="P6" s="14" t="n"/>
      <c r="Q6" s="13" t="n"/>
      <c r="R6" s="14" t="n"/>
      <c r="S6" s="13" t="n"/>
      <c r="T6" s="14" t="n"/>
      <c r="U6" s="13" t="n"/>
      <c r="V6" s="14" t="n"/>
      <c r="W6" s="14" t="n"/>
      <c r="X6" s="14" t="n"/>
      <c r="Y6" s="13" t="n"/>
      <c r="Z6" s="16" t="n"/>
      <c r="AA6" s="13" t="n"/>
      <c r="AB6" s="13" t="n"/>
    </row>
    <row r="7">
      <c r="A7" s="13" t="n">
        <v>4</v>
      </c>
      <c r="B7" s="14" t="n"/>
      <c r="C7" s="14" t="n"/>
      <c r="D7" s="14" t="n"/>
      <c r="E7" s="15" t="n"/>
      <c r="F7" s="11">
        <f>IF(E7="","",DATEDIF(E7,TODAY(),"Y"))</f>
        <v/>
      </c>
      <c r="G7" s="13" t="n"/>
      <c r="H7" s="13" t="n"/>
      <c r="I7" s="13" t="n"/>
      <c r="J7" s="13" t="n"/>
      <c r="K7" s="14" t="n"/>
      <c r="L7" s="13" t="n"/>
      <c r="M7" s="14" t="n"/>
      <c r="N7" s="13" t="n"/>
      <c r="O7" s="13" t="n"/>
      <c r="P7" s="14" t="n"/>
      <c r="Q7" s="13" t="n"/>
      <c r="R7" s="14" t="n"/>
      <c r="S7" s="13" t="n"/>
      <c r="T7" s="14" t="n"/>
      <c r="U7" s="13" t="n"/>
      <c r="V7" s="14" t="n"/>
      <c r="W7" s="14" t="n"/>
      <c r="X7" s="14" t="n"/>
      <c r="Y7" s="13" t="n"/>
      <c r="Z7" s="16" t="n"/>
      <c r="AA7" s="13" t="n"/>
      <c r="AB7" s="13" t="n"/>
    </row>
    <row r="8">
      <c r="A8" s="13" t="n">
        <v>5</v>
      </c>
      <c r="B8" s="14" t="n"/>
      <c r="C8" s="14" t="n"/>
      <c r="D8" s="14" t="n"/>
      <c r="E8" s="15" t="n"/>
      <c r="F8" s="11">
        <f>IF(E8="","",DATEDIF(E8,TODAY(),"Y"))</f>
        <v/>
      </c>
      <c r="G8" s="13" t="n"/>
      <c r="H8" s="13" t="n"/>
      <c r="I8" s="13" t="n"/>
      <c r="J8" s="13" t="n"/>
      <c r="K8" s="14" t="n"/>
      <c r="L8" s="13" t="n"/>
      <c r="M8" s="14" t="n"/>
      <c r="N8" s="13" t="n"/>
      <c r="O8" s="13" t="n"/>
      <c r="P8" s="14" t="n"/>
      <c r="Q8" s="13" t="n"/>
      <c r="R8" s="14" t="n"/>
      <c r="S8" s="13" t="n"/>
      <c r="T8" s="14" t="n"/>
      <c r="U8" s="13" t="n"/>
      <c r="V8" s="14" t="n"/>
      <c r="W8" s="14" t="n"/>
      <c r="X8" s="14" t="n"/>
      <c r="Y8" s="13" t="n"/>
      <c r="Z8" s="16" t="n"/>
      <c r="AA8" s="13" t="n"/>
      <c r="AB8" s="13" t="n"/>
    </row>
    <row r="9">
      <c r="A9" s="13" t="n">
        <v>6</v>
      </c>
      <c r="B9" s="14" t="n"/>
      <c r="C9" s="14" t="n"/>
      <c r="D9" s="14" t="n"/>
      <c r="E9" s="15" t="n"/>
      <c r="F9" s="11">
        <f>IF(E9="","",DATEDIF(E9,TODAY(),"Y"))</f>
        <v/>
      </c>
      <c r="G9" s="13" t="n"/>
      <c r="H9" s="13" t="n"/>
      <c r="I9" s="13" t="n"/>
      <c r="J9" s="13" t="n"/>
      <c r="K9" s="14" t="n"/>
      <c r="L9" s="13" t="n"/>
      <c r="M9" s="14" t="n"/>
      <c r="N9" s="13" t="n"/>
      <c r="O9" s="13" t="n"/>
      <c r="P9" s="14" t="n"/>
      <c r="Q9" s="13" t="n"/>
      <c r="R9" s="14" t="n"/>
      <c r="S9" s="13" t="n"/>
      <c r="T9" s="14" t="n"/>
      <c r="U9" s="13" t="n"/>
      <c r="V9" s="14" t="n"/>
      <c r="W9" s="14" t="n"/>
      <c r="X9" s="14" t="n"/>
      <c r="Y9" s="13" t="n"/>
      <c r="Z9" s="16" t="n"/>
      <c r="AA9" s="13" t="n"/>
      <c r="AB9" s="13" t="n"/>
    </row>
    <row r="10">
      <c r="A10" s="13" t="n">
        <v>7</v>
      </c>
      <c r="B10" s="14" t="n"/>
      <c r="C10" s="14" t="n"/>
      <c r="D10" s="14" t="n"/>
      <c r="E10" s="15" t="n"/>
      <c r="F10" s="11">
        <f>IF(E10="","",DATEDIF(E10,TODAY(),"Y"))</f>
        <v/>
      </c>
      <c r="G10" s="13" t="n"/>
      <c r="H10" s="13" t="n"/>
      <c r="I10" s="13" t="n"/>
      <c r="J10" s="13" t="n"/>
      <c r="K10" s="14" t="n"/>
      <c r="L10" s="13" t="n"/>
      <c r="M10" s="14" t="n"/>
      <c r="N10" s="13" t="n"/>
      <c r="O10" s="13" t="n"/>
      <c r="P10" s="14" t="n"/>
      <c r="Q10" s="13" t="n"/>
      <c r="R10" s="14" t="n"/>
      <c r="S10" s="13" t="n"/>
      <c r="T10" s="14" t="n"/>
      <c r="U10" s="13" t="n"/>
      <c r="V10" s="14" t="n"/>
      <c r="W10" s="14" t="n"/>
      <c r="X10" s="14" t="n"/>
      <c r="Y10" s="13" t="n"/>
      <c r="Z10" s="16" t="n"/>
      <c r="AA10" s="13" t="n"/>
      <c r="AB10" s="13" t="n"/>
    </row>
    <row r="11">
      <c r="A11" s="13" t="n">
        <v>8</v>
      </c>
      <c r="B11" s="14" t="n"/>
      <c r="C11" s="14" t="n"/>
      <c r="D11" s="14" t="n"/>
      <c r="E11" s="15" t="n"/>
      <c r="F11" s="11">
        <f>IF(E11="","",DATEDIF(E11,TODAY(),"Y"))</f>
        <v/>
      </c>
      <c r="G11" s="13" t="n"/>
      <c r="H11" s="13" t="n"/>
      <c r="I11" s="13" t="n"/>
      <c r="J11" s="13" t="n"/>
      <c r="K11" s="14" t="n"/>
      <c r="L11" s="13" t="n"/>
      <c r="M11" s="14" t="n"/>
      <c r="N11" s="13" t="n"/>
      <c r="O11" s="13" t="n"/>
      <c r="P11" s="14" t="n"/>
      <c r="Q11" s="13" t="n"/>
      <c r="R11" s="14" t="n"/>
      <c r="S11" s="13" t="n"/>
      <c r="T11" s="14" t="n"/>
      <c r="U11" s="13" t="n"/>
      <c r="V11" s="14" t="n"/>
      <c r="W11" s="14" t="n"/>
      <c r="X11" s="14" t="n"/>
      <c r="Y11" s="13" t="n"/>
      <c r="Z11" s="16" t="n"/>
      <c r="AA11" s="13" t="n"/>
      <c r="AB11" s="13" t="n"/>
    </row>
    <row r="12">
      <c r="A12" s="13" t="n">
        <v>9</v>
      </c>
      <c r="B12" s="14" t="n"/>
      <c r="C12" s="14" t="n"/>
      <c r="D12" s="14" t="n"/>
      <c r="E12" s="15" t="n"/>
      <c r="F12" s="11">
        <f>IF(E12="","",DATEDIF(E12,TODAY(),"Y"))</f>
        <v/>
      </c>
      <c r="G12" s="13" t="n"/>
      <c r="H12" s="13" t="n"/>
      <c r="I12" s="13" t="n"/>
      <c r="J12" s="13" t="n"/>
      <c r="K12" s="14" t="n"/>
      <c r="L12" s="13" t="n"/>
      <c r="M12" s="14" t="n"/>
      <c r="N12" s="13" t="n"/>
      <c r="O12" s="13" t="n"/>
      <c r="P12" s="14" t="n"/>
      <c r="Q12" s="13" t="n"/>
      <c r="R12" s="14" t="n"/>
      <c r="S12" s="13" t="n"/>
      <c r="T12" s="14" t="n"/>
      <c r="U12" s="13" t="n"/>
      <c r="V12" s="14" t="n"/>
      <c r="W12" s="14" t="n"/>
      <c r="X12" s="14" t="n"/>
      <c r="Y12" s="13" t="n"/>
      <c r="Z12" s="16" t="n"/>
      <c r="AA12" s="13" t="n"/>
      <c r="AB12" s="13" t="n"/>
    </row>
    <row r="13">
      <c r="A13" s="13" t="n">
        <v>10</v>
      </c>
      <c r="B13" s="14" t="n"/>
      <c r="C13" s="14" t="n"/>
      <c r="D13" s="14" t="n"/>
      <c r="E13" s="15" t="n"/>
      <c r="F13" s="11">
        <f>IF(E13="","",DATEDIF(E13,TODAY(),"Y"))</f>
        <v/>
      </c>
      <c r="G13" s="13" t="n"/>
      <c r="H13" s="13" t="n"/>
      <c r="I13" s="13" t="n"/>
      <c r="J13" s="13" t="n"/>
      <c r="K13" s="14" t="n"/>
      <c r="L13" s="13" t="n"/>
      <c r="M13" s="14" t="n"/>
      <c r="N13" s="13" t="n"/>
      <c r="O13" s="13" t="n"/>
      <c r="P13" s="14" t="n"/>
      <c r="Q13" s="13" t="n"/>
      <c r="R13" s="14" t="n"/>
      <c r="S13" s="13" t="n"/>
      <c r="T13" s="14" t="n"/>
      <c r="U13" s="13" t="n"/>
      <c r="V13" s="14" t="n"/>
      <c r="W13" s="14" t="n"/>
      <c r="X13" s="14" t="n"/>
      <c r="Y13" s="13" t="n"/>
      <c r="Z13" s="16" t="n"/>
      <c r="AA13" s="13" t="n"/>
      <c r="AB13" s="13" t="n"/>
    </row>
    <row r="14">
      <c r="A14" s="13" t="n">
        <v>11</v>
      </c>
      <c r="B14" s="14" t="n"/>
      <c r="C14" s="14" t="n"/>
      <c r="D14" s="14" t="n"/>
      <c r="E14" s="15" t="n"/>
      <c r="F14" s="11">
        <f>IF(E14="","",DATEDIF(E14,TODAY(),"Y"))</f>
        <v/>
      </c>
      <c r="G14" s="13" t="n"/>
      <c r="H14" s="13" t="n"/>
      <c r="I14" s="13" t="n"/>
      <c r="J14" s="13" t="n"/>
      <c r="K14" s="14" t="n"/>
      <c r="L14" s="13" t="n"/>
      <c r="M14" s="14" t="n"/>
      <c r="N14" s="13" t="n"/>
      <c r="O14" s="13" t="n"/>
      <c r="P14" s="14" t="n"/>
      <c r="Q14" s="13" t="n"/>
      <c r="R14" s="14" t="n"/>
      <c r="S14" s="13" t="n"/>
      <c r="T14" s="14" t="n"/>
      <c r="U14" s="13" t="n"/>
      <c r="V14" s="14" t="n"/>
      <c r="W14" s="14" t="n"/>
      <c r="X14" s="14" t="n"/>
      <c r="Y14" s="13" t="n"/>
      <c r="Z14" s="16" t="n"/>
      <c r="AA14" s="13" t="n"/>
      <c r="AB14" s="13" t="n"/>
    </row>
    <row r="15">
      <c r="A15" s="13" t="n">
        <v>12</v>
      </c>
      <c r="B15" s="14" t="n"/>
      <c r="C15" s="14" t="n"/>
      <c r="D15" s="14" t="n"/>
      <c r="E15" s="15" t="n"/>
      <c r="F15" s="11">
        <f>IF(E15="","",DATEDIF(E15,TODAY(),"Y"))</f>
        <v/>
      </c>
      <c r="G15" s="13" t="n"/>
      <c r="H15" s="13" t="n"/>
      <c r="I15" s="13" t="n"/>
      <c r="J15" s="13" t="n"/>
      <c r="K15" s="14" t="n"/>
      <c r="L15" s="13" t="n"/>
      <c r="M15" s="14" t="n"/>
      <c r="N15" s="13" t="n"/>
      <c r="O15" s="13" t="n"/>
      <c r="P15" s="14" t="n"/>
      <c r="Q15" s="13" t="n"/>
      <c r="R15" s="14" t="n"/>
      <c r="S15" s="13" t="n"/>
      <c r="T15" s="14" t="n"/>
      <c r="U15" s="13" t="n"/>
      <c r="V15" s="14" t="n"/>
      <c r="W15" s="14" t="n"/>
      <c r="X15" s="14" t="n"/>
      <c r="Y15" s="13" t="n"/>
      <c r="Z15" s="16" t="n"/>
      <c r="AA15" s="13" t="n"/>
      <c r="AB15" s="13" t="n"/>
    </row>
    <row r="16">
      <c r="A16" s="13" t="n">
        <v>13</v>
      </c>
      <c r="B16" s="14" t="n"/>
      <c r="C16" s="14" t="n"/>
      <c r="D16" s="14" t="n"/>
      <c r="E16" s="15" t="n"/>
      <c r="F16" s="11">
        <f>IF(E16="","",DATEDIF(E16,TODAY(),"Y"))</f>
        <v/>
      </c>
      <c r="G16" s="13" t="n"/>
      <c r="H16" s="13" t="n"/>
      <c r="I16" s="13" t="n"/>
      <c r="J16" s="13" t="n"/>
      <c r="K16" s="14" t="n"/>
      <c r="L16" s="13" t="n"/>
      <c r="M16" s="14" t="n"/>
      <c r="N16" s="13" t="n"/>
      <c r="O16" s="13" t="n"/>
      <c r="P16" s="14" t="n"/>
      <c r="Q16" s="13" t="n"/>
      <c r="R16" s="14" t="n"/>
      <c r="S16" s="13" t="n"/>
      <c r="T16" s="14" t="n"/>
      <c r="U16" s="13" t="n"/>
      <c r="V16" s="14" t="n"/>
      <c r="W16" s="14" t="n"/>
      <c r="X16" s="14" t="n"/>
      <c r="Y16" s="13" t="n"/>
      <c r="Z16" s="16" t="n"/>
      <c r="AA16" s="13" t="n"/>
      <c r="AB16" s="13" t="n"/>
    </row>
    <row r="17">
      <c r="A17" s="13" t="n">
        <v>14</v>
      </c>
      <c r="B17" s="14" t="n"/>
      <c r="C17" s="14" t="n"/>
      <c r="D17" s="14" t="n"/>
      <c r="E17" s="15" t="n"/>
      <c r="F17" s="11">
        <f>IF(E17="","",DATEDIF(E17,TODAY(),"Y"))</f>
        <v/>
      </c>
      <c r="G17" s="13" t="n"/>
      <c r="H17" s="13" t="n"/>
      <c r="I17" s="13" t="n"/>
      <c r="J17" s="13" t="n"/>
      <c r="K17" s="14" t="n"/>
      <c r="L17" s="13" t="n"/>
      <c r="M17" s="14" t="n"/>
      <c r="N17" s="13" t="n"/>
      <c r="O17" s="13" t="n"/>
      <c r="P17" s="14" t="n"/>
      <c r="Q17" s="13" t="n"/>
      <c r="R17" s="14" t="n"/>
      <c r="S17" s="13" t="n"/>
      <c r="T17" s="14" t="n"/>
      <c r="U17" s="13" t="n"/>
      <c r="V17" s="14" t="n"/>
      <c r="W17" s="14" t="n"/>
      <c r="X17" s="14" t="n"/>
      <c r="Y17" s="13" t="n"/>
      <c r="Z17" s="16" t="n"/>
      <c r="AA17" s="13" t="n"/>
      <c r="AB17" s="13" t="n"/>
    </row>
    <row r="18">
      <c r="A18" s="13" t="n">
        <v>15</v>
      </c>
      <c r="B18" s="14" t="n"/>
      <c r="C18" s="14" t="n"/>
      <c r="D18" s="14" t="n"/>
      <c r="E18" s="15" t="n"/>
      <c r="F18" s="11">
        <f>IF(E18="","",DATEDIF(E18,TODAY(),"Y"))</f>
        <v/>
      </c>
      <c r="G18" s="13" t="n"/>
      <c r="H18" s="13" t="n"/>
      <c r="I18" s="13" t="n"/>
      <c r="J18" s="13" t="n"/>
      <c r="K18" s="14" t="n"/>
      <c r="L18" s="13" t="n"/>
      <c r="M18" s="14" t="n"/>
      <c r="N18" s="13" t="n"/>
      <c r="O18" s="13" t="n"/>
      <c r="P18" s="14" t="n"/>
      <c r="Q18" s="13" t="n"/>
      <c r="R18" s="14" t="n"/>
      <c r="S18" s="13" t="n"/>
      <c r="T18" s="14" t="n"/>
      <c r="U18" s="13" t="n"/>
      <c r="V18" s="14" t="n"/>
      <c r="W18" s="14" t="n"/>
      <c r="X18" s="14" t="n"/>
      <c r="Y18" s="13" t="n"/>
      <c r="Z18" s="16" t="n"/>
      <c r="AA18" s="13" t="n"/>
      <c r="AB18" s="13" t="n"/>
    </row>
    <row r="19">
      <c r="A19" s="13" t="n">
        <v>16</v>
      </c>
      <c r="B19" s="14" t="n"/>
      <c r="C19" s="14" t="n"/>
      <c r="D19" s="14" t="n"/>
      <c r="E19" s="15" t="n"/>
      <c r="F19" s="11">
        <f>IF(E19="","",DATEDIF(E19,TODAY(),"Y"))</f>
        <v/>
      </c>
      <c r="G19" s="13" t="n"/>
      <c r="H19" s="13" t="n"/>
      <c r="I19" s="13" t="n"/>
      <c r="J19" s="13" t="n"/>
      <c r="K19" s="14" t="n"/>
      <c r="L19" s="13" t="n"/>
      <c r="M19" s="14" t="n"/>
      <c r="N19" s="13" t="n"/>
      <c r="O19" s="13" t="n"/>
      <c r="P19" s="14" t="n"/>
      <c r="Q19" s="13" t="n"/>
      <c r="R19" s="14" t="n"/>
      <c r="S19" s="13" t="n"/>
      <c r="T19" s="14" t="n"/>
      <c r="U19" s="13" t="n"/>
      <c r="V19" s="14" t="n"/>
      <c r="W19" s="14" t="n"/>
      <c r="X19" s="14" t="n"/>
      <c r="Y19" s="13" t="n"/>
      <c r="Z19" s="16" t="n"/>
      <c r="AA19" s="13" t="n"/>
      <c r="AB19" s="13" t="n"/>
    </row>
    <row r="20">
      <c r="A20" s="13" t="n">
        <v>17</v>
      </c>
      <c r="B20" s="14" t="n"/>
      <c r="C20" s="14" t="n"/>
      <c r="D20" s="14" t="n"/>
      <c r="E20" s="15" t="n"/>
      <c r="F20" s="11">
        <f>IF(E20="","",DATEDIF(E20,TODAY(),"Y"))</f>
        <v/>
      </c>
      <c r="G20" s="13" t="n"/>
      <c r="H20" s="13" t="n"/>
      <c r="I20" s="13" t="n"/>
      <c r="J20" s="13" t="n"/>
      <c r="K20" s="14" t="n"/>
      <c r="L20" s="13" t="n"/>
      <c r="M20" s="14" t="n"/>
      <c r="N20" s="13" t="n"/>
      <c r="O20" s="13" t="n"/>
      <c r="P20" s="14" t="n"/>
      <c r="Q20" s="13" t="n"/>
      <c r="R20" s="14" t="n"/>
      <c r="S20" s="13" t="n"/>
      <c r="T20" s="14" t="n"/>
      <c r="U20" s="13" t="n"/>
      <c r="V20" s="14" t="n"/>
      <c r="W20" s="14" t="n"/>
      <c r="X20" s="14" t="n"/>
      <c r="Y20" s="13" t="n"/>
      <c r="Z20" s="16" t="n"/>
      <c r="AA20" s="13" t="n"/>
      <c r="AB20" s="13" t="n"/>
    </row>
    <row r="21">
      <c r="A21" s="13" t="n">
        <v>18</v>
      </c>
      <c r="B21" s="14" t="n"/>
      <c r="C21" s="14" t="n"/>
      <c r="D21" s="14" t="n"/>
      <c r="E21" s="15" t="n"/>
      <c r="F21" s="11">
        <f>IF(E21="","",DATEDIF(E21,TODAY(),"Y"))</f>
        <v/>
      </c>
      <c r="G21" s="13" t="n"/>
      <c r="H21" s="13" t="n"/>
      <c r="I21" s="13" t="n"/>
      <c r="J21" s="13" t="n"/>
      <c r="K21" s="14" t="n"/>
      <c r="L21" s="13" t="n"/>
      <c r="M21" s="14" t="n"/>
      <c r="N21" s="13" t="n"/>
      <c r="O21" s="13" t="n"/>
      <c r="P21" s="14" t="n"/>
      <c r="Q21" s="13" t="n"/>
      <c r="R21" s="14" t="n"/>
      <c r="S21" s="13" t="n"/>
      <c r="T21" s="14" t="n"/>
      <c r="U21" s="13" t="n"/>
      <c r="V21" s="14" t="n"/>
      <c r="W21" s="14" t="n"/>
      <c r="X21" s="14" t="n"/>
      <c r="Y21" s="13" t="n"/>
      <c r="Z21" s="16" t="n"/>
      <c r="AA21" s="13" t="n"/>
      <c r="AB21" s="13" t="n"/>
    </row>
    <row r="22">
      <c r="A22" s="13" t="n">
        <v>19</v>
      </c>
      <c r="B22" s="14" t="n"/>
      <c r="C22" s="14" t="n"/>
      <c r="D22" s="14" t="n"/>
      <c r="E22" s="15" t="n"/>
      <c r="F22" s="11">
        <f>IF(E22="","",DATEDIF(E22,TODAY(),"Y"))</f>
        <v/>
      </c>
      <c r="G22" s="13" t="n"/>
      <c r="H22" s="13" t="n"/>
      <c r="I22" s="13" t="n"/>
      <c r="J22" s="13" t="n"/>
      <c r="K22" s="14" t="n"/>
      <c r="L22" s="13" t="n"/>
      <c r="M22" s="14" t="n"/>
      <c r="N22" s="13" t="n"/>
      <c r="O22" s="13" t="n"/>
      <c r="P22" s="14" t="n"/>
      <c r="Q22" s="13" t="n"/>
      <c r="R22" s="14" t="n"/>
      <c r="S22" s="13" t="n"/>
      <c r="T22" s="14" t="n"/>
      <c r="U22" s="13" t="n"/>
      <c r="V22" s="14" t="n"/>
      <c r="W22" s="14" t="n"/>
      <c r="X22" s="14" t="n"/>
      <c r="Y22" s="13" t="n"/>
      <c r="Z22" s="16" t="n"/>
      <c r="AA22" s="13" t="n"/>
      <c r="AB22" s="13" t="n"/>
    </row>
    <row r="23">
      <c r="A23" s="13" t="n">
        <v>20</v>
      </c>
      <c r="B23" s="14" t="n"/>
      <c r="C23" s="14" t="n"/>
      <c r="D23" s="14" t="n"/>
      <c r="E23" s="15" t="n"/>
      <c r="F23" s="11">
        <f>IF(E23="","",DATEDIF(E23,TODAY(),"Y"))</f>
        <v/>
      </c>
      <c r="G23" s="13" t="n"/>
      <c r="H23" s="13" t="n"/>
      <c r="I23" s="13" t="n"/>
      <c r="J23" s="13" t="n"/>
      <c r="K23" s="14" t="n"/>
      <c r="L23" s="13" t="n"/>
      <c r="M23" s="14" t="n"/>
      <c r="N23" s="13" t="n"/>
      <c r="O23" s="13" t="n"/>
      <c r="P23" s="14" t="n"/>
      <c r="Q23" s="13" t="n"/>
      <c r="R23" s="14" t="n"/>
      <c r="S23" s="13" t="n"/>
      <c r="T23" s="14" t="n"/>
      <c r="U23" s="13" t="n"/>
      <c r="V23" s="14" t="n"/>
      <c r="W23" s="14" t="n"/>
      <c r="X23" s="14" t="n"/>
      <c r="Y23" s="13" t="n"/>
      <c r="Z23" s="16" t="n"/>
      <c r="AA23" s="13" t="n"/>
      <c r="AB23" s="13" t="n"/>
    </row>
    <row r="24">
      <c r="A24" s="13" t="n">
        <v>21</v>
      </c>
      <c r="B24" s="14" t="n"/>
      <c r="C24" s="14" t="n"/>
      <c r="D24" s="14" t="n"/>
      <c r="E24" s="15" t="n"/>
      <c r="F24" s="11">
        <f>IF(E24="","",DATEDIF(E24,TODAY(),"Y"))</f>
        <v/>
      </c>
      <c r="G24" s="13" t="n"/>
      <c r="H24" s="13" t="n"/>
      <c r="I24" s="13" t="n"/>
      <c r="J24" s="13" t="n"/>
      <c r="K24" s="14" t="n"/>
      <c r="L24" s="13" t="n"/>
      <c r="M24" s="14" t="n"/>
      <c r="N24" s="13" t="n"/>
      <c r="O24" s="13" t="n"/>
      <c r="P24" s="14" t="n"/>
      <c r="Q24" s="13" t="n"/>
      <c r="R24" s="14" t="n"/>
      <c r="S24" s="13" t="n"/>
      <c r="T24" s="14" t="n"/>
      <c r="U24" s="13" t="n"/>
      <c r="V24" s="14" t="n"/>
      <c r="W24" s="14" t="n"/>
      <c r="X24" s="14" t="n"/>
      <c r="Y24" s="13" t="n"/>
      <c r="Z24" s="16" t="n"/>
      <c r="AA24" s="13" t="n"/>
      <c r="AB24" s="13" t="n"/>
    </row>
    <row r="25">
      <c r="A25" s="13" t="n">
        <v>22</v>
      </c>
      <c r="B25" s="14" t="n"/>
      <c r="C25" s="14" t="n"/>
      <c r="D25" s="14" t="n"/>
      <c r="E25" s="15" t="n"/>
      <c r="F25" s="11">
        <f>IF(E25="","",DATEDIF(E25,TODAY(),"Y"))</f>
        <v/>
      </c>
      <c r="G25" s="13" t="n"/>
      <c r="H25" s="13" t="n"/>
      <c r="I25" s="13" t="n"/>
      <c r="J25" s="13" t="n"/>
      <c r="K25" s="14" t="n"/>
      <c r="L25" s="13" t="n"/>
      <c r="M25" s="14" t="n"/>
      <c r="N25" s="13" t="n"/>
      <c r="O25" s="13" t="n"/>
      <c r="P25" s="14" t="n"/>
      <c r="Q25" s="13" t="n"/>
      <c r="R25" s="14" t="n"/>
      <c r="S25" s="13" t="n"/>
      <c r="T25" s="14" t="n"/>
      <c r="U25" s="13" t="n"/>
      <c r="V25" s="14" t="n"/>
      <c r="W25" s="14" t="n"/>
      <c r="X25" s="14" t="n"/>
      <c r="Y25" s="13" t="n"/>
      <c r="Z25" s="16" t="n"/>
      <c r="AA25" s="13" t="n"/>
      <c r="AB25" s="13" t="n"/>
    </row>
    <row r="26">
      <c r="A26" s="13" t="n">
        <v>23</v>
      </c>
      <c r="B26" s="14" t="n"/>
      <c r="C26" s="14" t="n"/>
      <c r="D26" s="14" t="n"/>
      <c r="E26" s="15" t="n"/>
      <c r="F26" s="11">
        <f>IF(E26="","",DATEDIF(E26,TODAY(),"Y"))</f>
        <v/>
      </c>
      <c r="G26" s="13" t="n"/>
      <c r="H26" s="13" t="n"/>
      <c r="I26" s="13" t="n"/>
      <c r="J26" s="13" t="n"/>
      <c r="K26" s="14" t="n"/>
      <c r="L26" s="13" t="n"/>
      <c r="M26" s="14" t="n"/>
      <c r="N26" s="13" t="n"/>
      <c r="O26" s="13" t="n"/>
      <c r="P26" s="14" t="n"/>
      <c r="Q26" s="13" t="n"/>
      <c r="R26" s="14" t="n"/>
      <c r="S26" s="13" t="n"/>
      <c r="T26" s="14" t="n"/>
      <c r="U26" s="13" t="n"/>
      <c r="V26" s="14" t="n"/>
      <c r="W26" s="14" t="n"/>
      <c r="X26" s="14" t="n"/>
      <c r="Y26" s="13" t="n"/>
      <c r="Z26" s="16" t="n"/>
      <c r="AA26" s="13" t="n"/>
      <c r="AB26" s="13" t="n"/>
    </row>
    <row r="27">
      <c r="A27" s="13" t="n">
        <v>24</v>
      </c>
      <c r="B27" s="14" t="n"/>
      <c r="C27" s="14" t="n"/>
      <c r="D27" s="14" t="n"/>
      <c r="E27" s="15" t="n"/>
      <c r="F27" s="11">
        <f>IF(E27="","",DATEDIF(E27,TODAY(),"Y"))</f>
        <v/>
      </c>
      <c r="G27" s="13" t="n"/>
      <c r="H27" s="13" t="n"/>
      <c r="I27" s="13" t="n"/>
      <c r="J27" s="13" t="n"/>
      <c r="K27" s="14" t="n"/>
      <c r="L27" s="13" t="n"/>
      <c r="M27" s="14" t="n"/>
      <c r="N27" s="13" t="n"/>
      <c r="O27" s="13" t="n"/>
      <c r="P27" s="14" t="n"/>
      <c r="Q27" s="13" t="n"/>
      <c r="R27" s="14" t="n"/>
      <c r="S27" s="13" t="n"/>
      <c r="T27" s="14" t="n"/>
      <c r="U27" s="13" t="n"/>
      <c r="V27" s="14" t="n"/>
      <c r="W27" s="14" t="n"/>
      <c r="X27" s="14" t="n"/>
      <c r="Y27" s="13" t="n"/>
      <c r="Z27" s="16" t="n"/>
      <c r="AA27" s="13" t="n"/>
      <c r="AB27" s="13" t="n"/>
    </row>
    <row r="28">
      <c r="A28" s="13" t="n">
        <v>25</v>
      </c>
      <c r="B28" s="14" t="n"/>
      <c r="C28" s="14" t="n"/>
      <c r="D28" s="14" t="n"/>
      <c r="E28" s="15" t="n"/>
      <c r="F28" s="11">
        <f>IF(E28="","",DATEDIF(E28,TODAY(),"Y"))</f>
        <v/>
      </c>
      <c r="G28" s="13" t="n"/>
      <c r="H28" s="13" t="n"/>
      <c r="I28" s="13" t="n"/>
      <c r="J28" s="13" t="n"/>
      <c r="K28" s="14" t="n"/>
      <c r="L28" s="13" t="n"/>
      <c r="M28" s="14" t="n"/>
      <c r="N28" s="13" t="n"/>
      <c r="O28" s="13" t="n"/>
      <c r="P28" s="14" t="n"/>
      <c r="Q28" s="13" t="n"/>
      <c r="R28" s="14" t="n"/>
      <c r="S28" s="13" t="n"/>
      <c r="T28" s="14" t="n"/>
      <c r="U28" s="13" t="n"/>
      <c r="V28" s="14" t="n"/>
      <c r="W28" s="14" t="n"/>
      <c r="X28" s="14" t="n"/>
      <c r="Y28" s="13" t="n"/>
      <c r="Z28" s="16" t="n"/>
      <c r="AA28" s="13" t="n"/>
      <c r="AB28" s="13" t="n"/>
    </row>
    <row r="29">
      <c r="A29" s="13" t="n">
        <v>26</v>
      </c>
      <c r="B29" s="14" t="n"/>
      <c r="C29" s="14" t="n"/>
      <c r="D29" s="14" t="n"/>
      <c r="E29" s="15" t="n"/>
      <c r="F29" s="11">
        <f>IF(E29="","",DATEDIF(E29,TODAY(),"Y"))</f>
        <v/>
      </c>
      <c r="G29" s="13" t="n"/>
      <c r="H29" s="13" t="n"/>
      <c r="I29" s="13" t="n"/>
      <c r="J29" s="13" t="n"/>
      <c r="K29" s="14" t="n"/>
      <c r="L29" s="13" t="n"/>
      <c r="M29" s="14" t="n"/>
      <c r="N29" s="13" t="n"/>
      <c r="O29" s="13" t="n"/>
      <c r="P29" s="14" t="n"/>
      <c r="Q29" s="13" t="n"/>
      <c r="R29" s="14" t="n"/>
      <c r="S29" s="13" t="n"/>
      <c r="T29" s="14" t="n"/>
      <c r="U29" s="13" t="n"/>
      <c r="V29" s="14" t="n"/>
      <c r="W29" s="14" t="n"/>
      <c r="X29" s="14" t="n"/>
      <c r="Y29" s="13" t="n"/>
      <c r="Z29" s="16" t="n"/>
      <c r="AA29" s="13" t="n"/>
      <c r="AB29" s="13" t="n"/>
    </row>
    <row r="30">
      <c r="A30" s="13" t="n">
        <v>27</v>
      </c>
      <c r="B30" s="14" t="n"/>
      <c r="C30" s="14" t="n"/>
      <c r="D30" s="14" t="n"/>
      <c r="E30" s="15" t="n"/>
      <c r="F30" s="11">
        <f>IF(E30="","",DATEDIF(E30,TODAY(),"Y"))</f>
        <v/>
      </c>
      <c r="G30" s="13" t="n"/>
      <c r="H30" s="13" t="n"/>
      <c r="I30" s="13" t="n"/>
      <c r="J30" s="13" t="n"/>
      <c r="K30" s="14" t="n"/>
      <c r="L30" s="13" t="n"/>
      <c r="M30" s="14" t="n"/>
      <c r="N30" s="13" t="n"/>
      <c r="O30" s="13" t="n"/>
      <c r="P30" s="14" t="n"/>
      <c r="Q30" s="13" t="n"/>
      <c r="R30" s="14" t="n"/>
      <c r="S30" s="13" t="n"/>
      <c r="T30" s="14" t="n"/>
      <c r="U30" s="13" t="n"/>
      <c r="V30" s="14" t="n"/>
      <c r="W30" s="14" t="n"/>
      <c r="X30" s="14" t="n"/>
      <c r="Y30" s="13" t="n"/>
      <c r="Z30" s="16" t="n"/>
      <c r="AA30" s="13" t="n"/>
      <c r="AB30" s="13" t="n"/>
    </row>
    <row r="31">
      <c r="A31" s="13" t="n">
        <v>28</v>
      </c>
      <c r="B31" s="14" t="n"/>
      <c r="C31" s="14" t="n"/>
      <c r="D31" s="14" t="n"/>
      <c r="E31" s="15" t="n"/>
      <c r="F31" s="11">
        <f>IF(E31="","",DATEDIF(E31,TODAY(),"Y"))</f>
        <v/>
      </c>
      <c r="G31" s="13" t="n"/>
      <c r="H31" s="13" t="n"/>
      <c r="I31" s="13" t="n"/>
      <c r="J31" s="13" t="n"/>
      <c r="K31" s="14" t="n"/>
      <c r="L31" s="13" t="n"/>
      <c r="M31" s="14" t="n"/>
      <c r="N31" s="13" t="n"/>
      <c r="O31" s="13" t="n"/>
      <c r="P31" s="14" t="n"/>
      <c r="Q31" s="13" t="n"/>
      <c r="R31" s="14" t="n"/>
      <c r="S31" s="13" t="n"/>
      <c r="T31" s="14" t="n"/>
      <c r="U31" s="13" t="n"/>
      <c r="V31" s="14" t="n"/>
      <c r="W31" s="14" t="n"/>
      <c r="X31" s="14" t="n"/>
      <c r="Y31" s="13" t="n"/>
      <c r="Z31" s="16" t="n"/>
      <c r="AA31" s="13" t="n"/>
      <c r="AB31" s="13" t="n"/>
    </row>
    <row r="32">
      <c r="A32" s="13" t="n">
        <v>29</v>
      </c>
      <c r="B32" s="14" t="n"/>
      <c r="C32" s="14" t="n"/>
      <c r="D32" s="14" t="n"/>
      <c r="E32" s="15" t="n"/>
      <c r="F32" s="11">
        <f>IF(E32="","",DATEDIF(E32,TODAY(),"Y"))</f>
        <v/>
      </c>
      <c r="G32" s="13" t="n"/>
      <c r="H32" s="13" t="n"/>
      <c r="I32" s="13" t="n"/>
      <c r="J32" s="13" t="n"/>
      <c r="K32" s="14" t="n"/>
      <c r="L32" s="13" t="n"/>
      <c r="M32" s="14" t="n"/>
      <c r="N32" s="13" t="n"/>
      <c r="O32" s="13" t="n"/>
      <c r="P32" s="14" t="n"/>
      <c r="Q32" s="13" t="n"/>
      <c r="R32" s="14" t="n"/>
      <c r="S32" s="13" t="n"/>
      <c r="T32" s="14" t="n"/>
      <c r="U32" s="13" t="n"/>
      <c r="V32" s="14" t="n"/>
      <c r="W32" s="14" t="n"/>
      <c r="X32" s="14" t="n"/>
      <c r="Y32" s="13" t="n"/>
      <c r="Z32" s="16" t="n"/>
      <c r="AA32" s="13" t="n"/>
      <c r="AB32" s="13" t="n"/>
    </row>
    <row r="33">
      <c r="A33" s="13" t="n">
        <v>30</v>
      </c>
      <c r="B33" s="14" t="n"/>
      <c r="C33" s="14" t="n"/>
      <c r="D33" s="14" t="n"/>
      <c r="E33" s="15" t="n"/>
      <c r="F33" s="11">
        <f>IF(E33="","",DATEDIF(E33,TODAY(),"Y"))</f>
        <v/>
      </c>
      <c r="G33" s="13" t="n"/>
      <c r="H33" s="13" t="n"/>
      <c r="I33" s="13" t="n"/>
      <c r="J33" s="13" t="n"/>
      <c r="K33" s="14" t="n"/>
      <c r="L33" s="13" t="n"/>
      <c r="M33" s="14" t="n"/>
      <c r="N33" s="13" t="n"/>
      <c r="O33" s="13" t="n"/>
      <c r="P33" s="14" t="n"/>
      <c r="Q33" s="13" t="n"/>
      <c r="R33" s="14" t="n"/>
      <c r="S33" s="13" t="n"/>
      <c r="T33" s="14" t="n"/>
      <c r="U33" s="13" t="n"/>
      <c r="V33" s="14" t="n"/>
      <c r="W33" s="14" t="n"/>
      <c r="X33" s="14" t="n"/>
      <c r="Y33" s="13" t="n"/>
      <c r="Z33" s="16" t="n"/>
      <c r="AA33" s="13" t="n"/>
      <c r="AB33" s="13" t="n"/>
    </row>
  </sheetData>
  <mergeCells count="2">
    <mergeCell ref="A2:AB2"/>
    <mergeCell ref="A1:AB1"/>
  </mergeCells>
  <dataValidations count="8">
    <dataValidation sqref="D4:D33" showDropDown="0" showInputMessage="0" showErrorMessage="0" allowBlank="1" errorTitle="Valeur non prevue" error="Choisissez une valeur dans la liste." type="list">
      <formula1>'13_Listes'!$A$4:$A$5</formula1>
    </dataValidation>
    <dataValidation sqref="L4:L33" showDropDown="0" showInputMessage="0" showErrorMessage="0" allowBlank="1" errorTitle="Valeur non prevue" error="Choisissez une valeur dans la liste." type="list">
      <formula1>'13_Listes'!$L$4:$L$9</formula1>
    </dataValidation>
    <dataValidation sqref="Q4:Q33" showDropDown="0" showInputMessage="0" showErrorMessage="0" allowBlank="1" errorTitle="Valeur non prevue" error="Choisissez une valeur dans la liste." type="list">
      <formula1>'13_Listes'!$L$4:$L$9</formula1>
    </dataValidation>
    <dataValidation sqref="N4:N33" showDropDown="0" showInputMessage="0" showErrorMessage="0" allowBlank="1" errorTitle="Valeur non prevue" error="Choisissez une valeur dans la liste." type="list">
      <formula1>'13_Listes'!$E$4:$E$5</formula1>
    </dataValidation>
    <dataValidation sqref="V4:V33" showDropDown="0" showInputMessage="0" showErrorMessage="0" allowBlank="1" errorTitle="Valeur non prevue" error="Choisissez une valeur dans la liste." type="list">
      <formula1>'13_Listes'!$E$4:$E$5</formula1>
    </dataValidation>
    <dataValidation sqref="W4:W33" showDropDown="0" showInputMessage="0" showErrorMessage="0" allowBlank="1" errorTitle="Valeur non prevue" error="Choisissez une valeur dans la liste." type="list">
      <formula1>'13_Listes'!$M$4:$M$6</formula1>
    </dataValidation>
    <dataValidation sqref="X4:X33" showDropDown="0" showInputMessage="0" showErrorMessage="0" allowBlank="1" errorTitle="Valeur non prevue" error="Choisissez une valeur dans la liste." type="list">
      <formula1>'13_Listes'!$N$4:$N$6</formula1>
    </dataValidation>
    <dataValidation sqref="AA4:AA33" showDropDown="0" showInputMessage="0" showErrorMessage="0" allowBlank="1" errorTitle="Valeur non prevue" error="Choisissez une valeur dans la liste." type="list">
      <formula1>'13_Listes'!$I$4:$I$6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16" customWidth="1" min="4" max="4"/>
    <col width="11" customWidth="1" min="5" max="5"/>
    <col width="10" customWidth="1" min="6" max="6"/>
    <col width="13" customWidth="1" min="7" max="7"/>
    <col width="10" customWidth="1" min="8" max="8"/>
    <col width="12" customWidth="1" min="9" max="9"/>
    <col width="18" customWidth="1" min="10" max="10"/>
    <col width="16" customWidth="1" min="11" max="11"/>
    <col width="14" customWidth="1" min="12" max="12"/>
    <col width="40" customWidth="1" min="13" max="13"/>
    <col width="14" customWidth="1" min="14" max="14"/>
    <col width="14" customWidth="1" min="15" max="15"/>
  </cols>
  <sheetData>
    <row r="1" ht="24" customHeight="1">
      <c r="A1" s="1" t="inlineStr">
        <is>
          <t>TEST DE DECOLLAGE  -  DIAGNOSTIC (SEANCE 1)</t>
        </is>
      </c>
    </row>
    <row r="2">
      <c r="A2" s="6" t="inlineStr">
        <is>
          <t>INTERNE AUX ENSEIGNANTS. Ces resultats ne sont communiques ni aux eleves ni aux familles. La colonne la plus importante est 'Face a la difficulte'.</t>
        </is>
      </c>
    </row>
    <row r="3" ht="30" customHeight="1">
      <c r="A3" s="7" t="inlineStr">
        <is>
          <t>N°</t>
        </is>
      </c>
      <c r="B3" s="7" t="inlineStr">
        <is>
          <t>NOM</t>
        </is>
      </c>
      <c r="C3" s="7" t="inlineStr">
        <is>
          <t>Prenom</t>
        </is>
      </c>
      <c r="D3" s="7" t="inlineStr">
        <is>
          <t>Classe</t>
        </is>
      </c>
      <c r="E3" s="7" t="inlineStr">
        <is>
          <t>Pilotage /6</t>
        </is>
      </c>
      <c r="F3" s="7" t="inlineStr">
        <is>
          <t>Logique /4</t>
        </is>
      </c>
      <c r="G3" s="7" t="inlineStr">
        <is>
          <t>Deja code ?</t>
        </is>
      </c>
      <c r="H3" s="7" t="inlineStr">
        <is>
          <t>Anglais</t>
        </is>
      </c>
      <c r="I3" s="7" t="inlineStr">
        <is>
          <t>Frappe clavier</t>
        </is>
      </c>
      <c r="J3" s="7" t="inlineStr">
        <is>
          <t>Face a la difficulte</t>
        </is>
      </c>
      <c r="K3" s="7" t="inlineStr">
        <is>
          <t>PROFIL</t>
        </is>
      </c>
      <c r="L3" s="7" t="inlineStr">
        <is>
          <t>Piste conseillee</t>
        </is>
      </c>
      <c r="M3" s="7" t="inlineStr">
        <is>
          <t>Remarques (ecrire tout de suite)</t>
        </is>
      </c>
      <c r="N3" s="7" t="inlineStr">
        <is>
          <t>Reevaluation S5</t>
        </is>
      </c>
      <c r="O3" s="7" t="inlineStr">
        <is>
          <t>Reevaluation S12</t>
        </is>
      </c>
    </row>
    <row r="4">
      <c r="A4" s="13" t="n">
        <v>1</v>
      </c>
      <c r="B4" s="11">
        <f>IF('01_Apprenants'!B4="","",'01_Apprenants'!B4)</f>
        <v/>
      </c>
      <c r="C4" s="11">
        <f>IF('01_Apprenants'!C4="","",'01_Apprenants'!C4)</f>
        <v/>
      </c>
      <c r="D4" s="11">
        <f>IF('01_Apprenants'!D4="","",'01_Apprenants'!D4)</f>
        <v/>
      </c>
      <c r="E4" s="14" t="n"/>
      <c r="F4" s="14" t="n"/>
      <c r="G4" s="14" t="n"/>
      <c r="H4" s="14" t="n"/>
      <c r="I4" s="14" t="n"/>
      <c r="J4" s="14" t="n"/>
      <c r="K4" s="14" t="n"/>
      <c r="L4" s="17">
        <f>IF(K4="","",IF(LEFT(K4,2)="P0","Bleue",IF(LEFT(K4,2)="P3","Noire","Rouge")))</f>
        <v/>
      </c>
      <c r="M4" s="14" t="n"/>
      <c r="N4" s="14" t="n"/>
      <c r="O4" s="14" t="n"/>
    </row>
    <row r="5">
      <c r="A5" s="13" t="n">
        <v>2</v>
      </c>
      <c r="B5" s="11">
        <f>IF('01_Apprenants'!B5="","",'01_Apprenants'!B5)</f>
        <v/>
      </c>
      <c r="C5" s="11">
        <f>IF('01_Apprenants'!C5="","",'01_Apprenants'!C5)</f>
        <v/>
      </c>
      <c r="D5" s="11">
        <f>IF('01_Apprenants'!D5="","",'01_Apprenants'!D5)</f>
        <v/>
      </c>
      <c r="E5" s="14" t="n"/>
      <c r="F5" s="14" t="n"/>
      <c r="G5" s="14" t="n"/>
      <c r="H5" s="14" t="n"/>
      <c r="I5" s="14" t="n"/>
      <c r="J5" s="14" t="n"/>
      <c r="K5" s="14" t="n"/>
      <c r="L5" s="17">
        <f>IF(K5="","",IF(LEFT(K5,2)="P0","Bleue",IF(LEFT(K5,2)="P3","Noire","Rouge")))</f>
        <v/>
      </c>
      <c r="M5" s="14" t="n"/>
      <c r="N5" s="14" t="n"/>
      <c r="O5" s="14" t="n"/>
    </row>
    <row r="6">
      <c r="A6" s="13" t="n">
        <v>3</v>
      </c>
      <c r="B6" s="11">
        <f>IF('01_Apprenants'!B6="","",'01_Apprenants'!B6)</f>
        <v/>
      </c>
      <c r="C6" s="11">
        <f>IF('01_Apprenants'!C6="","",'01_Apprenants'!C6)</f>
        <v/>
      </c>
      <c r="D6" s="11">
        <f>IF('01_Apprenants'!D6="","",'01_Apprenants'!D6)</f>
        <v/>
      </c>
      <c r="E6" s="14" t="n"/>
      <c r="F6" s="14" t="n"/>
      <c r="G6" s="14" t="n"/>
      <c r="H6" s="14" t="n"/>
      <c r="I6" s="14" t="n"/>
      <c r="J6" s="14" t="n"/>
      <c r="K6" s="14" t="n"/>
      <c r="L6" s="17">
        <f>IF(K6="","",IF(LEFT(K6,2)="P0","Bleue",IF(LEFT(K6,2)="P3","Noire","Rouge")))</f>
        <v/>
      </c>
      <c r="M6" s="14" t="n"/>
      <c r="N6" s="14" t="n"/>
      <c r="O6" s="14" t="n"/>
    </row>
    <row r="7">
      <c r="A7" s="13" t="n">
        <v>4</v>
      </c>
      <c r="B7" s="11">
        <f>IF('01_Apprenants'!B7="","",'01_Apprenants'!B7)</f>
        <v/>
      </c>
      <c r="C7" s="11">
        <f>IF('01_Apprenants'!C7="","",'01_Apprenants'!C7)</f>
        <v/>
      </c>
      <c r="D7" s="11">
        <f>IF('01_Apprenants'!D7="","",'01_Apprenants'!D7)</f>
        <v/>
      </c>
      <c r="E7" s="14" t="n"/>
      <c r="F7" s="14" t="n"/>
      <c r="G7" s="14" t="n"/>
      <c r="H7" s="14" t="n"/>
      <c r="I7" s="14" t="n"/>
      <c r="J7" s="14" t="n"/>
      <c r="K7" s="14" t="n"/>
      <c r="L7" s="17">
        <f>IF(K7="","",IF(LEFT(K7,2)="P0","Bleue",IF(LEFT(K7,2)="P3","Noire","Rouge")))</f>
        <v/>
      </c>
      <c r="M7" s="14" t="n"/>
      <c r="N7" s="14" t="n"/>
      <c r="O7" s="14" t="n"/>
    </row>
    <row r="8">
      <c r="A8" s="13" t="n">
        <v>5</v>
      </c>
      <c r="B8" s="11">
        <f>IF('01_Apprenants'!B8="","",'01_Apprenants'!B8)</f>
        <v/>
      </c>
      <c r="C8" s="11">
        <f>IF('01_Apprenants'!C8="","",'01_Apprenants'!C8)</f>
        <v/>
      </c>
      <c r="D8" s="11">
        <f>IF('01_Apprenants'!D8="","",'01_Apprenants'!D8)</f>
        <v/>
      </c>
      <c r="E8" s="14" t="n"/>
      <c r="F8" s="14" t="n"/>
      <c r="G8" s="14" t="n"/>
      <c r="H8" s="14" t="n"/>
      <c r="I8" s="14" t="n"/>
      <c r="J8" s="14" t="n"/>
      <c r="K8" s="14" t="n"/>
      <c r="L8" s="17">
        <f>IF(K8="","",IF(LEFT(K8,2)="P0","Bleue",IF(LEFT(K8,2)="P3","Noire","Rouge")))</f>
        <v/>
      </c>
      <c r="M8" s="14" t="n"/>
      <c r="N8" s="14" t="n"/>
      <c r="O8" s="14" t="n"/>
    </row>
    <row r="9">
      <c r="A9" s="13" t="n">
        <v>6</v>
      </c>
      <c r="B9" s="11">
        <f>IF('01_Apprenants'!B9="","",'01_Apprenants'!B9)</f>
        <v/>
      </c>
      <c r="C9" s="11">
        <f>IF('01_Apprenants'!C9="","",'01_Apprenants'!C9)</f>
        <v/>
      </c>
      <c r="D9" s="11">
        <f>IF('01_Apprenants'!D9="","",'01_Apprenants'!D9)</f>
        <v/>
      </c>
      <c r="E9" s="14" t="n"/>
      <c r="F9" s="14" t="n"/>
      <c r="G9" s="14" t="n"/>
      <c r="H9" s="14" t="n"/>
      <c r="I9" s="14" t="n"/>
      <c r="J9" s="14" t="n"/>
      <c r="K9" s="14" t="n"/>
      <c r="L9" s="17">
        <f>IF(K9="","",IF(LEFT(K9,2)="P0","Bleue",IF(LEFT(K9,2)="P3","Noire","Rouge")))</f>
        <v/>
      </c>
      <c r="M9" s="14" t="n"/>
      <c r="N9" s="14" t="n"/>
      <c r="O9" s="14" t="n"/>
    </row>
    <row r="10">
      <c r="A10" s="13" t="n">
        <v>7</v>
      </c>
      <c r="B10" s="11">
        <f>IF('01_Apprenants'!B10="","",'01_Apprenants'!B10)</f>
        <v/>
      </c>
      <c r="C10" s="11">
        <f>IF('01_Apprenants'!C10="","",'01_Apprenants'!C10)</f>
        <v/>
      </c>
      <c r="D10" s="11">
        <f>IF('01_Apprenants'!D10="","",'01_Apprenants'!D10)</f>
        <v/>
      </c>
      <c r="E10" s="14" t="n"/>
      <c r="F10" s="14" t="n"/>
      <c r="G10" s="14" t="n"/>
      <c r="H10" s="14" t="n"/>
      <c r="I10" s="14" t="n"/>
      <c r="J10" s="14" t="n"/>
      <c r="K10" s="14" t="n"/>
      <c r="L10" s="17">
        <f>IF(K10="","",IF(LEFT(K10,2)="P0","Bleue",IF(LEFT(K10,2)="P3","Noire","Rouge")))</f>
        <v/>
      </c>
      <c r="M10" s="14" t="n"/>
      <c r="N10" s="14" t="n"/>
      <c r="O10" s="14" t="n"/>
    </row>
    <row r="11">
      <c r="A11" s="13" t="n">
        <v>8</v>
      </c>
      <c r="B11" s="11">
        <f>IF('01_Apprenants'!B11="","",'01_Apprenants'!B11)</f>
        <v/>
      </c>
      <c r="C11" s="11">
        <f>IF('01_Apprenants'!C11="","",'01_Apprenants'!C11)</f>
        <v/>
      </c>
      <c r="D11" s="11">
        <f>IF('01_Apprenants'!D11="","",'01_Apprenants'!D11)</f>
        <v/>
      </c>
      <c r="E11" s="14" t="n"/>
      <c r="F11" s="14" t="n"/>
      <c r="G11" s="14" t="n"/>
      <c r="H11" s="14" t="n"/>
      <c r="I11" s="14" t="n"/>
      <c r="J11" s="14" t="n"/>
      <c r="K11" s="14" t="n"/>
      <c r="L11" s="17">
        <f>IF(K11="","",IF(LEFT(K11,2)="P0","Bleue",IF(LEFT(K11,2)="P3","Noire","Rouge")))</f>
        <v/>
      </c>
      <c r="M11" s="14" t="n"/>
      <c r="N11" s="14" t="n"/>
      <c r="O11" s="14" t="n"/>
    </row>
    <row r="12">
      <c r="A12" s="13" t="n">
        <v>9</v>
      </c>
      <c r="B12" s="11">
        <f>IF('01_Apprenants'!B12="","",'01_Apprenants'!B12)</f>
        <v/>
      </c>
      <c r="C12" s="11">
        <f>IF('01_Apprenants'!C12="","",'01_Apprenants'!C12)</f>
        <v/>
      </c>
      <c r="D12" s="11">
        <f>IF('01_Apprenants'!D12="","",'01_Apprenants'!D12)</f>
        <v/>
      </c>
      <c r="E12" s="14" t="n"/>
      <c r="F12" s="14" t="n"/>
      <c r="G12" s="14" t="n"/>
      <c r="H12" s="14" t="n"/>
      <c r="I12" s="14" t="n"/>
      <c r="J12" s="14" t="n"/>
      <c r="K12" s="14" t="n"/>
      <c r="L12" s="17">
        <f>IF(K12="","",IF(LEFT(K12,2)="P0","Bleue",IF(LEFT(K12,2)="P3","Noire","Rouge")))</f>
        <v/>
      </c>
      <c r="M12" s="14" t="n"/>
      <c r="N12" s="14" t="n"/>
      <c r="O12" s="14" t="n"/>
    </row>
    <row r="13">
      <c r="A13" s="13" t="n">
        <v>10</v>
      </c>
      <c r="B13" s="11">
        <f>IF('01_Apprenants'!B13="","",'01_Apprenants'!B13)</f>
        <v/>
      </c>
      <c r="C13" s="11">
        <f>IF('01_Apprenants'!C13="","",'01_Apprenants'!C13)</f>
        <v/>
      </c>
      <c r="D13" s="11">
        <f>IF('01_Apprenants'!D13="","",'01_Apprenants'!D13)</f>
        <v/>
      </c>
      <c r="E13" s="14" t="n"/>
      <c r="F13" s="14" t="n"/>
      <c r="G13" s="14" t="n"/>
      <c r="H13" s="14" t="n"/>
      <c r="I13" s="14" t="n"/>
      <c r="J13" s="14" t="n"/>
      <c r="K13" s="14" t="n"/>
      <c r="L13" s="17">
        <f>IF(K13="","",IF(LEFT(K13,2)="P0","Bleue",IF(LEFT(K13,2)="P3","Noire","Rouge")))</f>
        <v/>
      </c>
      <c r="M13" s="14" t="n"/>
      <c r="N13" s="14" t="n"/>
      <c r="O13" s="14" t="n"/>
    </row>
    <row r="14">
      <c r="A14" s="13" t="n">
        <v>11</v>
      </c>
      <c r="B14" s="11">
        <f>IF('01_Apprenants'!B14="","",'01_Apprenants'!B14)</f>
        <v/>
      </c>
      <c r="C14" s="11">
        <f>IF('01_Apprenants'!C14="","",'01_Apprenants'!C14)</f>
        <v/>
      </c>
      <c r="D14" s="11">
        <f>IF('01_Apprenants'!D14="","",'01_Apprenants'!D14)</f>
        <v/>
      </c>
      <c r="E14" s="14" t="n"/>
      <c r="F14" s="14" t="n"/>
      <c r="G14" s="14" t="n"/>
      <c r="H14" s="14" t="n"/>
      <c r="I14" s="14" t="n"/>
      <c r="J14" s="14" t="n"/>
      <c r="K14" s="14" t="n"/>
      <c r="L14" s="17">
        <f>IF(K14="","",IF(LEFT(K14,2)="P0","Bleue",IF(LEFT(K14,2)="P3","Noire","Rouge")))</f>
        <v/>
      </c>
      <c r="M14" s="14" t="n"/>
      <c r="N14" s="14" t="n"/>
      <c r="O14" s="14" t="n"/>
    </row>
    <row r="15">
      <c r="A15" s="13" t="n">
        <v>12</v>
      </c>
      <c r="B15" s="11">
        <f>IF('01_Apprenants'!B15="","",'01_Apprenants'!B15)</f>
        <v/>
      </c>
      <c r="C15" s="11">
        <f>IF('01_Apprenants'!C15="","",'01_Apprenants'!C15)</f>
        <v/>
      </c>
      <c r="D15" s="11">
        <f>IF('01_Apprenants'!D15="","",'01_Apprenants'!D15)</f>
        <v/>
      </c>
      <c r="E15" s="14" t="n"/>
      <c r="F15" s="14" t="n"/>
      <c r="G15" s="14" t="n"/>
      <c r="H15" s="14" t="n"/>
      <c r="I15" s="14" t="n"/>
      <c r="J15" s="14" t="n"/>
      <c r="K15" s="14" t="n"/>
      <c r="L15" s="17">
        <f>IF(K15="","",IF(LEFT(K15,2)="P0","Bleue",IF(LEFT(K15,2)="P3","Noire","Rouge")))</f>
        <v/>
      </c>
      <c r="M15" s="14" t="n"/>
      <c r="N15" s="14" t="n"/>
      <c r="O15" s="14" t="n"/>
    </row>
    <row r="16">
      <c r="A16" s="13" t="n">
        <v>13</v>
      </c>
      <c r="B16" s="11">
        <f>IF('01_Apprenants'!B16="","",'01_Apprenants'!B16)</f>
        <v/>
      </c>
      <c r="C16" s="11">
        <f>IF('01_Apprenants'!C16="","",'01_Apprenants'!C16)</f>
        <v/>
      </c>
      <c r="D16" s="11">
        <f>IF('01_Apprenants'!D16="","",'01_Apprenants'!D16)</f>
        <v/>
      </c>
      <c r="E16" s="14" t="n"/>
      <c r="F16" s="14" t="n"/>
      <c r="G16" s="14" t="n"/>
      <c r="H16" s="14" t="n"/>
      <c r="I16" s="14" t="n"/>
      <c r="J16" s="14" t="n"/>
      <c r="K16" s="14" t="n"/>
      <c r="L16" s="17">
        <f>IF(K16="","",IF(LEFT(K16,2)="P0","Bleue",IF(LEFT(K16,2)="P3","Noire","Rouge")))</f>
        <v/>
      </c>
      <c r="M16" s="14" t="n"/>
      <c r="N16" s="14" t="n"/>
      <c r="O16" s="14" t="n"/>
    </row>
    <row r="17">
      <c r="A17" s="13" t="n">
        <v>14</v>
      </c>
      <c r="B17" s="11">
        <f>IF('01_Apprenants'!B17="","",'01_Apprenants'!B17)</f>
        <v/>
      </c>
      <c r="C17" s="11">
        <f>IF('01_Apprenants'!C17="","",'01_Apprenants'!C17)</f>
        <v/>
      </c>
      <c r="D17" s="11">
        <f>IF('01_Apprenants'!D17="","",'01_Apprenants'!D17)</f>
        <v/>
      </c>
      <c r="E17" s="14" t="n"/>
      <c r="F17" s="14" t="n"/>
      <c r="G17" s="14" t="n"/>
      <c r="H17" s="14" t="n"/>
      <c r="I17" s="14" t="n"/>
      <c r="J17" s="14" t="n"/>
      <c r="K17" s="14" t="n"/>
      <c r="L17" s="17">
        <f>IF(K17="","",IF(LEFT(K17,2)="P0","Bleue",IF(LEFT(K17,2)="P3","Noire","Rouge")))</f>
        <v/>
      </c>
      <c r="M17" s="14" t="n"/>
      <c r="N17" s="14" t="n"/>
      <c r="O17" s="14" t="n"/>
    </row>
    <row r="18">
      <c r="A18" s="13" t="n">
        <v>15</v>
      </c>
      <c r="B18" s="11">
        <f>IF('01_Apprenants'!B18="","",'01_Apprenants'!B18)</f>
        <v/>
      </c>
      <c r="C18" s="11">
        <f>IF('01_Apprenants'!C18="","",'01_Apprenants'!C18)</f>
        <v/>
      </c>
      <c r="D18" s="11">
        <f>IF('01_Apprenants'!D18="","",'01_Apprenants'!D18)</f>
        <v/>
      </c>
      <c r="E18" s="14" t="n"/>
      <c r="F18" s="14" t="n"/>
      <c r="G18" s="14" t="n"/>
      <c r="H18" s="14" t="n"/>
      <c r="I18" s="14" t="n"/>
      <c r="J18" s="14" t="n"/>
      <c r="K18" s="14" t="n"/>
      <c r="L18" s="17">
        <f>IF(K18="","",IF(LEFT(K18,2)="P0","Bleue",IF(LEFT(K18,2)="P3","Noire","Rouge")))</f>
        <v/>
      </c>
      <c r="M18" s="14" t="n"/>
      <c r="N18" s="14" t="n"/>
      <c r="O18" s="14" t="n"/>
    </row>
    <row r="19">
      <c r="A19" s="13" t="n">
        <v>16</v>
      </c>
      <c r="B19" s="11">
        <f>IF('01_Apprenants'!B19="","",'01_Apprenants'!B19)</f>
        <v/>
      </c>
      <c r="C19" s="11">
        <f>IF('01_Apprenants'!C19="","",'01_Apprenants'!C19)</f>
        <v/>
      </c>
      <c r="D19" s="11">
        <f>IF('01_Apprenants'!D19="","",'01_Apprenants'!D19)</f>
        <v/>
      </c>
      <c r="E19" s="14" t="n"/>
      <c r="F19" s="14" t="n"/>
      <c r="G19" s="14" t="n"/>
      <c r="H19" s="14" t="n"/>
      <c r="I19" s="14" t="n"/>
      <c r="J19" s="14" t="n"/>
      <c r="K19" s="14" t="n"/>
      <c r="L19" s="17">
        <f>IF(K19="","",IF(LEFT(K19,2)="P0","Bleue",IF(LEFT(K19,2)="P3","Noire","Rouge")))</f>
        <v/>
      </c>
      <c r="M19" s="14" t="n"/>
      <c r="N19" s="14" t="n"/>
      <c r="O19" s="14" t="n"/>
    </row>
    <row r="20">
      <c r="A20" s="13" t="n">
        <v>17</v>
      </c>
      <c r="B20" s="11">
        <f>IF('01_Apprenants'!B20="","",'01_Apprenants'!B20)</f>
        <v/>
      </c>
      <c r="C20" s="11">
        <f>IF('01_Apprenants'!C20="","",'01_Apprenants'!C20)</f>
        <v/>
      </c>
      <c r="D20" s="11">
        <f>IF('01_Apprenants'!D20="","",'01_Apprenants'!D20)</f>
        <v/>
      </c>
      <c r="E20" s="14" t="n"/>
      <c r="F20" s="14" t="n"/>
      <c r="G20" s="14" t="n"/>
      <c r="H20" s="14" t="n"/>
      <c r="I20" s="14" t="n"/>
      <c r="J20" s="14" t="n"/>
      <c r="K20" s="14" t="n"/>
      <c r="L20" s="17">
        <f>IF(K20="","",IF(LEFT(K20,2)="P0","Bleue",IF(LEFT(K20,2)="P3","Noire","Rouge")))</f>
        <v/>
      </c>
      <c r="M20" s="14" t="n"/>
      <c r="N20" s="14" t="n"/>
      <c r="O20" s="14" t="n"/>
    </row>
    <row r="21">
      <c r="A21" s="13" t="n">
        <v>18</v>
      </c>
      <c r="B21" s="11">
        <f>IF('01_Apprenants'!B21="","",'01_Apprenants'!B21)</f>
        <v/>
      </c>
      <c r="C21" s="11">
        <f>IF('01_Apprenants'!C21="","",'01_Apprenants'!C21)</f>
        <v/>
      </c>
      <c r="D21" s="11">
        <f>IF('01_Apprenants'!D21="","",'01_Apprenants'!D21)</f>
        <v/>
      </c>
      <c r="E21" s="14" t="n"/>
      <c r="F21" s="14" t="n"/>
      <c r="G21" s="14" t="n"/>
      <c r="H21" s="14" t="n"/>
      <c r="I21" s="14" t="n"/>
      <c r="J21" s="14" t="n"/>
      <c r="K21" s="14" t="n"/>
      <c r="L21" s="17">
        <f>IF(K21="","",IF(LEFT(K21,2)="P0","Bleue",IF(LEFT(K21,2)="P3","Noire","Rouge")))</f>
        <v/>
      </c>
      <c r="M21" s="14" t="n"/>
      <c r="N21" s="14" t="n"/>
      <c r="O21" s="14" t="n"/>
    </row>
    <row r="22">
      <c r="A22" s="13" t="n">
        <v>19</v>
      </c>
      <c r="B22" s="11">
        <f>IF('01_Apprenants'!B22="","",'01_Apprenants'!B22)</f>
        <v/>
      </c>
      <c r="C22" s="11">
        <f>IF('01_Apprenants'!C22="","",'01_Apprenants'!C22)</f>
        <v/>
      </c>
      <c r="D22" s="11">
        <f>IF('01_Apprenants'!D22="","",'01_Apprenants'!D22)</f>
        <v/>
      </c>
      <c r="E22" s="14" t="n"/>
      <c r="F22" s="14" t="n"/>
      <c r="G22" s="14" t="n"/>
      <c r="H22" s="14" t="n"/>
      <c r="I22" s="14" t="n"/>
      <c r="J22" s="14" t="n"/>
      <c r="K22" s="14" t="n"/>
      <c r="L22" s="17">
        <f>IF(K22="","",IF(LEFT(K22,2)="P0","Bleue",IF(LEFT(K22,2)="P3","Noire","Rouge")))</f>
        <v/>
      </c>
      <c r="M22" s="14" t="n"/>
      <c r="N22" s="14" t="n"/>
      <c r="O22" s="14" t="n"/>
    </row>
    <row r="23">
      <c r="A23" s="13" t="n">
        <v>20</v>
      </c>
      <c r="B23" s="11">
        <f>IF('01_Apprenants'!B23="","",'01_Apprenants'!B23)</f>
        <v/>
      </c>
      <c r="C23" s="11">
        <f>IF('01_Apprenants'!C23="","",'01_Apprenants'!C23)</f>
        <v/>
      </c>
      <c r="D23" s="11">
        <f>IF('01_Apprenants'!D23="","",'01_Apprenants'!D23)</f>
        <v/>
      </c>
      <c r="E23" s="14" t="n"/>
      <c r="F23" s="14" t="n"/>
      <c r="G23" s="14" t="n"/>
      <c r="H23" s="14" t="n"/>
      <c r="I23" s="14" t="n"/>
      <c r="J23" s="14" t="n"/>
      <c r="K23" s="14" t="n"/>
      <c r="L23" s="17">
        <f>IF(K23="","",IF(LEFT(K23,2)="P0","Bleue",IF(LEFT(K23,2)="P3","Noire","Rouge")))</f>
        <v/>
      </c>
      <c r="M23" s="14" t="n"/>
      <c r="N23" s="14" t="n"/>
      <c r="O23" s="14" t="n"/>
    </row>
    <row r="24">
      <c r="A24" s="13" t="n">
        <v>21</v>
      </c>
      <c r="B24" s="11">
        <f>IF('01_Apprenants'!B24="","",'01_Apprenants'!B24)</f>
        <v/>
      </c>
      <c r="C24" s="11">
        <f>IF('01_Apprenants'!C24="","",'01_Apprenants'!C24)</f>
        <v/>
      </c>
      <c r="D24" s="11">
        <f>IF('01_Apprenants'!D24="","",'01_Apprenants'!D24)</f>
        <v/>
      </c>
      <c r="E24" s="14" t="n"/>
      <c r="F24" s="14" t="n"/>
      <c r="G24" s="14" t="n"/>
      <c r="H24" s="14" t="n"/>
      <c r="I24" s="14" t="n"/>
      <c r="J24" s="14" t="n"/>
      <c r="K24" s="14" t="n"/>
      <c r="L24" s="17">
        <f>IF(K24="","",IF(LEFT(K24,2)="P0","Bleue",IF(LEFT(K24,2)="P3","Noire","Rouge")))</f>
        <v/>
      </c>
      <c r="M24" s="14" t="n"/>
      <c r="N24" s="14" t="n"/>
      <c r="O24" s="14" t="n"/>
    </row>
    <row r="25">
      <c r="A25" s="13" t="n">
        <v>22</v>
      </c>
      <c r="B25" s="11">
        <f>IF('01_Apprenants'!B25="","",'01_Apprenants'!B25)</f>
        <v/>
      </c>
      <c r="C25" s="11">
        <f>IF('01_Apprenants'!C25="","",'01_Apprenants'!C25)</f>
        <v/>
      </c>
      <c r="D25" s="11">
        <f>IF('01_Apprenants'!D25="","",'01_Apprenants'!D25)</f>
        <v/>
      </c>
      <c r="E25" s="14" t="n"/>
      <c r="F25" s="14" t="n"/>
      <c r="G25" s="14" t="n"/>
      <c r="H25" s="14" t="n"/>
      <c r="I25" s="14" t="n"/>
      <c r="J25" s="14" t="n"/>
      <c r="K25" s="14" t="n"/>
      <c r="L25" s="17">
        <f>IF(K25="","",IF(LEFT(K25,2)="P0","Bleue",IF(LEFT(K25,2)="P3","Noire","Rouge")))</f>
        <v/>
      </c>
      <c r="M25" s="14" t="n"/>
      <c r="N25" s="14" t="n"/>
      <c r="O25" s="14" t="n"/>
    </row>
    <row r="26">
      <c r="A26" s="13" t="n">
        <v>23</v>
      </c>
      <c r="B26" s="11">
        <f>IF('01_Apprenants'!B26="","",'01_Apprenants'!B26)</f>
        <v/>
      </c>
      <c r="C26" s="11">
        <f>IF('01_Apprenants'!C26="","",'01_Apprenants'!C26)</f>
        <v/>
      </c>
      <c r="D26" s="11">
        <f>IF('01_Apprenants'!D26="","",'01_Apprenants'!D26)</f>
        <v/>
      </c>
      <c r="E26" s="14" t="n"/>
      <c r="F26" s="14" t="n"/>
      <c r="G26" s="14" t="n"/>
      <c r="H26" s="14" t="n"/>
      <c r="I26" s="14" t="n"/>
      <c r="J26" s="14" t="n"/>
      <c r="K26" s="14" t="n"/>
      <c r="L26" s="17">
        <f>IF(K26="","",IF(LEFT(K26,2)="P0","Bleue",IF(LEFT(K26,2)="P3","Noire","Rouge")))</f>
        <v/>
      </c>
      <c r="M26" s="14" t="n"/>
      <c r="N26" s="14" t="n"/>
      <c r="O26" s="14" t="n"/>
    </row>
    <row r="27">
      <c r="A27" s="13" t="n">
        <v>24</v>
      </c>
      <c r="B27" s="11">
        <f>IF('01_Apprenants'!B27="","",'01_Apprenants'!B27)</f>
        <v/>
      </c>
      <c r="C27" s="11">
        <f>IF('01_Apprenants'!C27="","",'01_Apprenants'!C27)</f>
        <v/>
      </c>
      <c r="D27" s="11">
        <f>IF('01_Apprenants'!D27="","",'01_Apprenants'!D27)</f>
        <v/>
      </c>
      <c r="E27" s="14" t="n"/>
      <c r="F27" s="14" t="n"/>
      <c r="G27" s="14" t="n"/>
      <c r="H27" s="14" t="n"/>
      <c r="I27" s="14" t="n"/>
      <c r="J27" s="14" t="n"/>
      <c r="K27" s="14" t="n"/>
      <c r="L27" s="17">
        <f>IF(K27="","",IF(LEFT(K27,2)="P0","Bleue",IF(LEFT(K27,2)="P3","Noire","Rouge")))</f>
        <v/>
      </c>
      <c r="M27" s="14" t="n"/>
      <c r="N27" s="14" t="n"/>
      <c r="O27" s="14" t="n"/>
    </row>
    <row r="28">
      <c r="A28" s="13" t="n">
        <v>25</v>
      </c>
      <c r="B28" s="11">
        <f>IF('01_Apprenants'!B28="","",'01_Apprenants'!B28)</f>
        <v/>
      </c>
      <c r="C28" s="11">
        <f>IF('01_Apprenants'!C28="","",'01_Apprenants'!C28)</f>
        <v/>
      </c>
      <c r="D28" s="11">
        <f>IF('01_Apprenants'!D28="","",'01_Apprenants'!D28)</f>
        <v/>
      </c>
      <c r="E28" s="14" t="n"/>
      <c r="F28" s="14" t="n"/>
      <c r="G28" s="14" t="n"/>
      <c r="H28" s="14" t="n"/>
      <c r="I28" s="14" t="n"/>
      <c r="J28" s="14" t="n"/>
      <c r="K28" s="14" t="n"/>
      <c r="L28" s="17">
        <f>IF(K28="","",IF(LEFT(K28,2)="P0","Bleue",IF(LEFT(K28,2)="P3","Noire","Rouge")))</f>
        <v/>
      </c>
      <c r="M28" s="14" t="n"/>
      <c r="N28" s="14" t="n"/>
      <c r="O28" s="14" t="n"/>
    </row>
    <row r="29">
      <c r="A29" s="13" t="n">
        <v>26</v>
      </c>
      <c r="B29" s="11">
        <f>IF('01_Apprenants'!B29="","",'01_Apprenants'!B29)</f>
        <v/>
      </c>
      <c r="C29" s="11">
        <f>IF('01_Apprenants'!C29="","",'01_Apprenants'!C29)</f>
        <v/>
      </c>
      <c r="D29" s="11">
        <f>IF('01_Apprenants'!D29="","",'01_Apprenants'!D29)</f>
        <v/>
      </c>
      <c r="E29" s="14" t="n"/>
      <c r="F29" s="14" t="n"/>
      <c r="G29" s="14" t="n"/>
      <c r="H29" s="14" t="n"/>
      <c r="I29" s="14" t="n"/>
      <c r="J29" s="14" t="n"/>
      <c r="K29" s="14" t="n"/>
      <c r="L29" s="17">
        <f>IF(K29="","",IF(LEFT(K29,2)="P0","Bleue",IF(LEFT(K29,2)="P3","Noire","Rouge")))</f>
        <v/>
      </c>
      <c r="M29" s="14" t="n"/>
      <c r="N29" s="14" t="n"/>
      <c r="O29" s="14" t="n"/>
    </row>
    <row r="30">
      <c r="A30" s="13" t="n">
        <v>27</v>
      </c>
      <c r="B30" s="11">
        <f>IF('01_Apprenants'!B30="","",'01_Apprenants'!B30)</f>
        <v/>
      </c>
      <c r="C30" s="11">
        <f>IF('01_Apprenants'!C30="","",'01_Apprenants'!C30)</f>
        <v/>
      </c>
      <c r="D30" s="11">
        <f>IF('01_Apprenants'!D30="","",'01_Apprenants'!D30)</f>
        <v/>
      </c>
      <c r="E30" s="14" t="n"/>
      <c r="F30" s="14" t="n"/>
      <c r="G30" s="14" t="n"/>
      <c r="H30" s="14" t="n"/>
      <c r="I30" s="14" t="n"/>
      <c r="J30" s="14" t="n"/>
      <c r="K30" s="14" t="n"/>
      <c r="L30" s="17">
        <f>IF(K30="","",IF(LEFT(K30,2)="P0","Bleue",IF(LEFT(K30,2)="P3","Noire","Rouge")))</f>
        <v/>
      </c>
      <c r="M30" s="14" t="n"/>
      <c r="N30" s="14" t="n"/>
      <c r="O30" s="14" t="n"/>
    </row>
    <row r="31">
      <c r="A31" s="13" t="n">
        <v>28</v>
      </c>
      <c r="B31" s="11">
        <f>IF('01_Apprenants'!B31="","",'01_Apprenants'!B31)</f>
        <v/>
      </c>
      <c r="C31" s="11">
        <f>IF('01_Apprenants'!C31="","",'01_Apprenants'!C31)</f>
        <v/>
      </c>
      <c r="D31" s="11">
        <f>IF('01_Apprenants'!D31="","",'01_Apprenants'!D31)</f>
        <v/>
      </c>
      <c r="E31" s="14" t="n"/>
      <c r="F31" s="14" t="n"/>
      <c r="G31" s="14" t="n"/>
      <c r="H31" s="14" t="n"/>
      <c r="I31" s="14" t="n"/>
      <c r="J31" s="14" t="n"/>
      <c r="K31" s="14" t="n"/>
      <c r="L31" s="17">
        <f>IF(K31="","",IF(LEFT(K31,2)="P0","Bleue",IF(LEFT(K31,2)="P3","Noire","Rouge")))</f>
        <v/>
      </c>
      <c r="M31" s="14" t="n"/>
      <c r="N31" s="14" t="n"/>
      <c r="O31" s="14" t="n"/>
    </row>
    <row r="32">
      <c r="A32" s="13" t="n">
        <v>29</v>
      </c>
      <c r="B32" s="11">
        <f>IF('01_Apprenants'!B32="","",'01_Apprenants'!B32)</f>
        <v/>
      </c>
      <c r="C32" s="11">
        <f>IF('01_Apprenants'!C32="","",'01_Apprenants'!C32)</f>
        <v/>
      </c>
      <c r="D32" s="11">
        <f>IF('01_Apprenants'!D32="","",'01_Apprenants'!D32)</f>
        <v/>
      </c>
      <c r="E32" s="14" t="n"/>
      <c r="F32" s="14" t="n"/>
      <c r="G32" s="14" t="n"/>
      <c r="H32" s="14" t="n"/>
      <c r="I32" s="14" t="n"/>
      <c r="J32" s="14" t="n"/>
      <c r="K32" s="14" t="n"/>
      <c r="L32" s="17">
        <f>IF(K32="","",IF(LEFT(K32,2)="P0","Bleue",IF(LEFT(K32,2)="P3","Noire","Rouge")))</f>
        <v/>
      </c>
      <c r="M32" s="14" t="n"/>
      <c r="N32" s="14" t="n"/>
      <c r="O32" s="14" t="n"/>
    </row>
    <row r="33">
      <c r="A33" s="13" t="n">
        <v>30</v>
      </c>
      <c r="B33" s="11">
        <f>IF('01_Apprenants'!B33="","",'01_Apprenants'!B33)</f>
        <v/>
      </c>
      <c r="C33" s="11">
        <f>IF('01_Apprenants'!C33="","",'01_Apprenants'!C33)</f>
        <v/>
      </c>
      <c r="D33" s="11">
        <f>IF('01_Apprenants'!D33="","",'01_Apprenants'!D33)</f>
        <v/>
      </c>
      <c r="E33" s="14" t="n"/>
      <c r="F33" s="14" t="n"/>
      <c r="G33" s="14" t="n"/>
      <c r="H33" s="14" t="n"/>
      <c r="I33" s="14" t="n"/>
      <c r="J33" s="14" t="n"/>
      <c r="K33" s="14" t="n"/>
      <c r="L33" s="17">
        <f>IF(K33="","",IF(LEFT(K33,2)="P0","Bleue",IF(LEFT(K33,2)="P3","Noire","Rouge")))</f>
        <v/>
      </c>
      <c r="M33" s="14" t="n"/>
      <c r="N33" s="14" t="n"/>
      <c r="O33" s="14" t="n"/>
    </row>
  </sheetData>
  <mergeCells count="2">
    <mergeCell ref="A1:O1"/>
    <mergeCell ref="A2:O2"/>
  </mergeCells>
  <conditionalFormatting sqref="K4:K33">
    <cfRule type="expression" priority="1" dxfId="0">
      <formula>LEFT($K4,2)="P0"</formula>
    </cfRule>
    <cfRule type="expression" priority="2" dxfId="1">
      <formula>LEFT($K4,2)="P3"</formula>
    </cfRule>
  </conditionalFormatting>
  <dataValidations count="7">
    <dataValidation sqref="K4:K33" showDropDown="0" showInputMessage="0" showErrorMessage="0" allowBlank="1" errorTitle="Valeur non prevue" error="Choisissez une valeur dans la liste." type="list">
      <formula1>'13_Listes'!$B$4:$B$7</formula1>
    </dataValidation>
    <dataValidation sqref="J4:J33" showDropDown="0" showInputMessage="0" showErrorMessage="0" allowBlank="1" errorTitle="Valeur non prevue" error="Choisissez une valeur dans la liste." type="list">
      <formula1>'13_Listes'!$F$4:$F$7</formula1>
    </dataValidation>
    <dataValidation sqref="G4:G33" showDropDown="0" showInputMessage="0" showErrorMessage="0" allowBlank="1" errorTitle="Valeur non prevue" error="Choisissez une valeur dans la liste." type="list">
      <formula1>'13_Listes'!$O$4:$O$7</formula1>
    </dataValidation>
    <dataValidation sqref="H4:H33" showDropDown="0" showInputMessage="0" showErrorMessage="0" allowBlank="1" errorTitle="Valeur non prevue" error="Choisissez une valeur dans la liste." type="list">
      <formula1>'13_Listes'!$P$4:$P$6</formula1>
    </dataValidation>
    <dataValidation sqref="I4:I33" showDropDown="0" showInputMessage="0" showErrorMessage="0" allowBlank="1" errorTitle="Valeur non prevue" error="Choisissez une valeur dans la liste." type="list">
      <formula1>'13_Listes'!$P$4:$P$6</formula1>
    </dataValidation>
    <dataValidation sqref="N4:N33" showDropDown="0" showInputMessage="0" showErrorMessage="0" allowBlank="1" errorTitle="Valeur non prevue" error="Choisissez une valeur dans la liste." type="list">
      <formula1>'13_Listes'!$B$4:$B$7</formula1>
    </dataValidation>
    <dataValidation sqref="O4:O33" showDropDown="0" showInputMessage="0" showErrorMessage="0" allowBlank="1" errorTitle="Valeur non prevue" error="Choisissez une valeur dans la liste." type="list">
      <formula1>'13_Listes'!$B$4:$B$7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1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11" customWidth="1" min="27" max="27"/>
    <col width="11" customWidth="1" min="28" max="28"/>
    <col width="9" customWidth="1" min="29" max="29"/>
  </cols>
  <sheetData>
    <row r="1" ht="24" customHeight="1">
      <c r="A1" s="1" t="inlineStr">
        <is>
          <t>FEUILLE DE PRESENCE</t>
        </is>
      </c>
    </row>
    <row r="2">
      <c r="A2" s="6" t="inlineStr">
        <is>
          <t>P = present   R = retard   E = excuse   A = absent.  Le total et le taux se calculent tout seuls. Une absence est le premier facteur d'abandon : appelez la famille des la 2e.</t>
        </is>
      </c>
    </row>
    <row r="3" ht="30" customHeight="1">
      <c r="A3" s="7" t="inlineStr">
        <is>
          <t>N°</t>
        </is>
      </c>
      <c r="B3" s="7" t="inlineStr">
        <is>
          <t>NOM</t>
        </is>
      </c>
      <c r="C3" s="7" t="inlineStr">
        <is>
          <t>Prenom</t>
        </is>
      </c>
      <c r="D3" s="7" t="inlineStr">
        <is>
          <t>Classe</t>
        </is>
      </c>
      <c r="E3" s="7" t="inlineStr">
        <is>
          <t>S01</t>
        </is>
      </c>
      <c r="F3" s="7" t="inlineStr">
        <is>
          <t>S02</t>
        </is>
      </c>
      <c r="G3" s="7" t="inlineStr">
        <is>
          <t>S03</t>
        </is>
      </c>
      <c r="H3" s="7" t="inlineStr">
        <is>
          <t>S04</t>
        </is>
      </c>
      <c r="I3" s="7" t="inlineStr">
        <is>
          <t>S05</t>
        </is>
      </c>
      <c r="J3" s="7" t="inlineStr">
        <is>
          <t>S06</t>
        </is>
      </c>
      <c r="K3" s="7" t="inlineStr">
        <is>
          <t>S07</t>
        </is>
      </c>
      <c r="L3" s="7" t="inlineStr">
        <is>
          <t>S08</t>
        </is>
      </c>
      <c r="M3" s="7" t="inlineStr">
        <is>
          <t>S09</t>
        </is>
      </c>
      <c r="N3" s="7" t="inlineStr">
        <is>
          <t>S10</t>
        </is>
      </c>
      <c r="O3" s="7" t="inlineStr">
        <is>
          <t>S11</t>
        </is>
      </c>
      <c r="P3" s="7" t="inlineStr">
        <is>
          <t>S12</t>
        </is>
      </c>
      <c r="Q3" s="7" t="inlineStr">
        <is>
          <t>S13</t>
        </is>
      </c>
      <c r="R3" s="7" t="inlineStr">
        <is>
          <t>S14</t>
        </is>
      </c>
      <c r="S3" s="7" t="inlineStr">
        <is>
          <t>S15</t>
        </is>
      </c>
      <c r="T3" s="7" t="inlineStr">
        <is>
          <t>S16</t>
        </is>
      </c>
      <c r="U3" s="7" t="inlineStr">
        <is>
          <t>S17</t>
        </is>
      </c>
      <c r="V3" s="7" t="inlineStr">
        <is>
          <t>S18</t>
        </is>
      </c>
      <c r="W3" s="7" t="inlineStr">
        <is>
          <t>S19</t>
        </is>
      </c>
      <c r="X3" s="7" t="inlineStr">
        <is>
          <t>S20</t>
        </is>
      </c>
      <c r="Y3" s="7" t="inlineStr">
        <is>
          <t>S21</t>
        </is>
      </c>
      <c r="Z3" s="7" t="inlineStr">
        <is>
          <t>S22</t>
        </is>
      </c>
      <c r="AA3" s="7" t="inlineStr">
        <is>
          <t>Presences</t>
        </is>
      </c>
      <c r="AB3" s="7" t="inlineStr">
        <is>
          <t>Absences</t>
        </is>
      </c>
      <c r="AC3" s="7" t="inlineStr">
        <is>
          <t>Taux</t>
        </is>
      </c>
    </row>
    <row r="4">
      <c r="A4" s="13" t="n">
        <v>1</v>
      </c>
      <c r="B4" s="11">
        <f>IF('01_Apprenants'!B4="","",'01_Apprenants'!B4)</f>
        <v/>
      </c>
      <c r="C4" s="11">
        <f>IF('01_Apprenants'!C4="","",'01_Apprenants'!C4)</f>
        <v/>
      </c>
      <c r="D4" s="11">
        <f>IF('01_Apprenants'!D4="","",'01_Apprenants'!D4)</f>
        <v/>
      </c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  <c r="AA4" s="11">
        <f>IF('01_Apprenants'!B4="","",COUNTIF(E4:Z4,"P*")+COUNTIF(E4:Z4,"R*"))</f>
        <v/>
      </c>
      <c r="AB4" s="11">
        <f>IF('01_Apprenants'!B4="","",COUNTIF(E4:Z4,"A*"))</f>
        <v/>
      </c>
      <c r="AC4" s="19">
        <f>IF(COUNTA(E4:Z4)=0,"",AA4/COUNTA(E4:Z4))</f>
        <v/>
      </c>
    </row>
    <row r="5">
      <c r="A5" s="13" t="n">
        <v>2</v>
      </c>
      <c r="B5" s="11">
        <f>IF('01_Apprenants'!B5="","",'01_Apprenants'!B5)</f>
        <v/>
      </c>
      <c r="C5" s="11">
        <f>IF('01_Apprenants'!C5="","",'01_Apprenants'!C5)</f>
        <v/>
      </c>
      <c r="D5" s="11">
        <f>IF('01_Apprenants'!D5="","",'01_Apprenants'!D5)</f>
        <v/>
      </c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1">
        <f>IF('01_Apprenants'!B5="","",COUNTIF(E5:Z5,"P*")+COUNTIF(E5:Z5,"R*"))</f>
        <v/>
      </c>
      <c r="AB5" s="11">
        <f>IF('01_Apprenants'!B5="","",COUNTIF(E5:Z5,"A*"))</f>
        <v/>
      </c>
      <c r="AC5" s="19">
        <f>IF(COUNTA(E5:Z5)=0,"",AA5/COUNTA(E5:Z5))</f>
        <v/>
      </c>
    </row>
    <row r="6">
      <c r="A6" s="13" t="n">
        <v>3</v>
      </c>
      <c r="B6" s="11">
        <f>IF('01_Apprenants'!B6="","",'01_Apprenants'!B6)</f>
        <v/>
      </c>
      <c r="C6" s="11">
        <f>IF('01_Apprenants'!C6="","",'01_Apprenants'!C6)</f>
        <v/>
      </c>
      <c r="D6" s="11">
        <f>IF('01_Apprenants'!D6="","",'01_Apprenants'!D6)</f>
        <v/>
      </c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1">
        <f>IF('01_Apprenants'!B6="","",COUNTIF(E6:Z6,"P*")+COUNTIF(E6:Z6,"R*"))</f>
        <v/>
      </c>
      <c r="AB6" s="11">
        <f>IF('01_Apprenants'!B6="","",COUNTIF(E6:Z6,"A*"))</f>
        <v/>
      </c>
      <c r="AC6" s="19">
        <f>IF(COUNTA(E6:Z6)=0,"",AA6/COUNTA(E6:Z6))</f>
        <v/>
      </c>
    </row>
    <row r="7">
      <c r="A7" s="13" t="n">
        <v>4</v>
      </c>
      <c r="B7" s="11">
        <f>IF('01_Apprenants'!B7="","",'01_Apprenants'!B7)</f>
        <v/>
      </c>
      <c r="C7" s="11">
        <f>IF('01_Apprenants'!C7="","",'01_Apprenants'!C7)</f>
        <v/>
      </c>
      <c r="D7" s="11">
        <f>IF('01_Apprenants'!D7="","",'01_Apprenants'!D7)</f>
        <v/>
      </c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1">
        <f>IF('01_Apprenants'!B7="","",COUNTIF(E7:Z7,"P*")+COUNTIF(E7:Z7,"R*"))</f>
        <v/>
      </c>
      <c r="AB7" s="11">
        <f>IF('01_Apprenants'!B7="","",COUNTIF(E7:Z7,"A*"))</f>
        <v/>
      </c>
      <c r="AC7" s="19">
        <f>IF(COUNTA(E7:Z7)=0,"",AA7/COUNTA(E7:Z7))</f>
        <v/>
      </c>
    </row>
    <row r="8">
      <c r="A8" s="13" t="n">
        <v>5</v>
      </c>
      <c r="B8" s="11">
        <f>IF('01_Apprenants'!B8="","",'01_Apprenants'!B8)</f>
        <v/>
      </c>
      <c r="C8" s="11">
        <f>IF('01_Apprenants'!C8="","",'01_Apprenants'!C8)</f>
        <v/>
      </c>
      <c r="D8" s="11">
        <f>IF('01_Apprenants'!D8="","",'01_Apprenants'!D8)</f>
        <v/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1">
        <f>IF('01_Apprenants'!B8="","",COUNTIF(E8:Z8,"P*")+COUNTIF(E8:Z8,"R*"))</f>
        <v/>
      </c>
      <c r="AB8" s="11">
        <f>IF('01_Apprenants'!B8="","",COUNTIF(E8:Z8,"A*"))</f>
        <v/>
      </c>
      <c r="AC8" s="19">
        <f>IF(COUNTA(E8:Z8)=0,"",AA8/COUNTA(E8:Z8))</f>
        <v/>
      </c>
    </row>
    <row r="9">
      <c r="A9" s="13" t="n">
        <v>6</v>
      </c>
      <c r="B9" s="11">
        <f>IF('01_Apprenants'!B9="","",'01_Apprenants'!B9)</f>
        <v/>
      </c>
      <c r="C9" s="11">
        <f>IF('01_Apprenants'!C9="","",'01_Apprenants'!C9)</f>
        <v/>
      </c>
      <c r="D9" s="11">
        <f>IF('01_Apprenants'!D9="","",'01_Apprenants'!D9)</f>
        <v/>
      </c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1">
        <f>IF('01_Apprenants'!B9="","",COUNTIF(E9:Z9,"P*")+COUNTIF(E9:Z9,"R*"))</f>
        <v/>
      </c>
      <c r="AB9" s="11">
        <f>IF('01_Apprenants'!B9="","",COUNTIF(E9:Z9,"A*"))</f>
        <v/>
      </c>
      <c r="AC9" s="19">
        <f>IF(COUNTA(E9:Z9)=0,"",AA9/COUNTA(E9:Z9))</f>
        <v/>
      </c>
    </row>
    <row r="10">
      <c r="A10" s="13" t="n">
        <v>7</v>
      </c>
      <c r="B10" s="11">
        <f>IF('01_Apprenants'!B10="","",'01_Apprenants'!B10)</f>
        <v/>
      </c>
      <c r="C10" s="11">
        <f>IF('01_Apprenants'!C10="","",'01_Apprenants'!C10)</f>
        <v/>
      </c>
      <c r="D10" s="11">
        <f>IF('01_Apprenants'!D10="","",'01_Apprenants'!D10)</f>
        <v/>
      </c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1">
        <f>IF('01_Apprenants'!B10="","",COUNTIF(E10:Z10,"P*")+COUNTIF(E10:Z10,"R*"))</f>
        <v/>
      </c>
      <c r="AB10" s="11">
        <f>IF('01_Apprenants'!B10="","",COUNTIF(E10:Z10,"A*"))</f>
        <v/>
      </c>
      <c r="AC10" s="19">
        <f>IF(COUNTA(E10:Z10)=0,"",AA10/COUNTA(E10:Z10))</f>
        <v/>
      </c>
    </row>
    <row r="11">
      <c r="A11" s="13" t="n">
        <v>8</v>
      </c>
      <c r="B11" s="11">
        <f>IF('01_Apprenants'!B11="","",'01_Apprenants'!B11)</f>
        <v/>
      </c>
      <c r="C11" s="11">
        <f>IF('01_Apprenants'!C11="","",'01_Apprenants'!C11)</f>
        <v/>
      </c>
      <c r="D11" s="11">
        <f>IF('01_Apprenants'!D11="","",'01_Apprenants'!D11)</f>
        <v/>
      </c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1">
        <f>IF('01_Apprenants'!B11="","",COUNTIF(E11:Z11,"P*")+COUNTIF(E11:Z11,"R*"))</f>
        <v/>
      </c>
      <c r="AB11" s="11">
        <f>IF('01_Apprenants'!B11="","",COUNTIF(E11:Z11,"A*"))</f>
        <v/>
      </c>
      <c r="AC11" s="19">
        <f>IF(COUNTA(E11:Z11)=0,"",AA11/COUNTA(E11:Z11))</f>
        <v/>
      </c>
    </row>
    <row r="12">
      <c r="A12" s="13" t="n">
        <v>9</v>
      </c>
      <c r="B12" s="11">
        <f>IF('01_Apprenants'!B12="","",'01_Apprenants'!B12)</f>
        <v/>
      </c>
      <c r="C12" s="11">
        <f>IF('01_Apprenants'!C12="","",'01_Apprenants'!C12)</f>
        <v/>
      </c>
      <c r="D12" s="11">
        <f>IF('01_Apprenants'!D12="","",'01_Apprenants'!D12)</f>
        <v/>
      </c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1">
        <f>IF('01_Apprenants'!B12="","",COUNTIF(E12:Z12,"P*")+COUNTIF(E12:Z12,"R*"))</f>
        <v/>
      </c>
      <c r="AB12" s="11">
        <f>IF('01_Apprenants'!B12="","",COUNTIF(E12:Z12,"A*"))</f>
        <v/>
      </c>
      <c r="AC12" s="19">
        <f>IF(COUNTA(E12:Z12)=0,"",AA12/COUNTA(E12:Z12))</f>
        <v/>
      </c>
    </row>
    <row r="13">
      <c r="A13" s="13" t="n">
        <v>10</v>
      </c>
      <c r="B13" s="11">
        <f>IF('01_Apprenants'!B13="","",'01_Apprenants'!B13)</f>
        <v/>
      </c>
      <c r="C13" s="11">
        <f>IF('01_Apprenants'!C13="","",'01_Apprenants'!C13)</f>
        <v/>
      </c>
      <c r="D13" s="11">
        <f>IF('01_Apprenants'!D13="","",'01_Apprenants'!D13)</f>
        <v/>
      </c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1">
        <f>IF('01_Apprenants'!B13="","",COUNTIF(E13:Z13,"P*")+COUNTIF(E13:Z13,"R*"))</f>
        <v/>
      </c>
      <c r="AB13" s="11">
        <f>IF('01_Apprenants'!B13="","",COUNTIF(E13:Z13,"A*"))</f>
        <v/>
      </c>
      <c r="AC13" s="19">
        <f>IF(COUNTA(E13:Z13)=0,"",AA13/COUNTA(E13:Z13))</f>
        <v/>
      </c>
    </row>
    <row r="14">
      <c r="A14" s="13" t="n">
        <v>11</v>
      </c>
      <c r="B14" s="11">
        <f>IF('01_Apprenants'!B14="","",'01_Apprenants'!B14)</f>
        <v/>
      </c>
      <c r="C14" s="11">
        <f>IF('01_Apprenants'!C14="","",'01_Apprenants'!C14)</f>
        <v/>
      </c>
      <c r="D14" s="11">
        <f>IF('01_Apprenants'!D14="","",'01_Apprenants'!D14)</f>
        <v/>
      </c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1">
        <f>IF('01_Apprenants'!B14="","",COUNTIF(E14:Z14,"P*")+COUNTIF(E14:Z14,"R*"))</f>
        <v/>
      </c>
      <c r="AB14" s="11">
        <f>IF('01_Apprenants'!B14="","",COUNTIF(E14:Z14,"A*"))</f>
        <v/>
      </c>
      <c r="AC14" s="19">
        <f>IF(COUNTA(E14:Z14)=0,"",AA14/COUNTA(E14:Z14))</f>
        <v/>
      </c>
    </row>
    <row r="15">
      <c r="A15" s="13" t="n">
        <v>12</v>
      </c>
      <c r="B15" s="11">
        <f>IF('01_Apprenants'!B15="","",'01_Apprenants'!B15)</f>
        <v/>
      </c>
      <c r="C15" s="11">
        <f>IF('01_Apprenants'!C15="","",'01_Apprenants'!C15)</f>
        <v/>
      </c>
      <c r="D15" s="11">
        <f>IF('01_Apprenants'!D15="","",'01_Apprenants'!D15)</f>
        <v/>
      </c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1">
        <f>IF('01_Apprenants'!B15="","",COUNTIF(E15:Z15,"P*")+COUNTIF(E15:Z15,"R*"))</f>
        <v/>
      </c>
      <c r="AB15" s="11">
        <f>IF('01_Apprenants'!B15="","",COUNTIF(E15:Z15,"A*"))</f>
        <v/>
      </c>
      <c r="AC15" s="19">
        <f>IF(COUNTA(E15:Z15)=0,"",AA15/COUNTA(E15:Z15))</f>
        <v/>
      </c>
    </row>
    <row r="16">
      <c r="A16" s="13" t="n">
        <v>13</v>
      </c>
      <c r="B16" s="11">
        <f>IF('01_Apprenants'!B16="","",'01_Apprenants'!B16)</f>
        <v/>
      </c>
      <c r="C16" s="11">
        <f>IF('01_Apprenants'!C16="","",'01_Apprenants'!C16)</f>
        <v/>
      </c>
      <c r="D16" s="11">
        <f>IF('01_Apprenants'!D16="","",'01_Apprenants'!D16)</f>
        <v/>
      </c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1">
        <f>IF('01_Apprenants'!B16="","",COUNTIF(E16:Z16,"P*")+COUNTIF(E16:Z16,"R*"))</f>
        <v/>
      </c>
      <c r="AB16" s="11">
        <f>IF('01_Apprenants'!B16="","",COUNTIF(E16:Z16,"A*"))</f>
        <v/>
      </c>
      <c r="AC16" s="19">
        <f>IF(COUNTA(E16:Z16)=0,"",AA16/COUNTA(E16:Z16))</f>
        <v/>
      </c>
    </row>
    <row r="17">
      <c r="A17" s="13" t="n">
        <v>14</v>
      </c>
      <c r="B17" s="11">
        <f>IF('01_Apprenants'!B17="","",'01_Apprenants'!B17)</f>
        <v/>
      </c>
      <c r="C17" s="11">
        <f>IF('01_Apprenants'!C17="","",'01_Apprenants'!C17)</f>
        <v/>
      </c>
      <c r="D17" s="11">
        <f>IF('01_Apprenants'!D17="","",'01_Apprenants'!D17)</f>
        <v/>
      </c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1">
        <f>IF('01_Apprenants'!B17="","",COUNTIF(E17:Z17,"P*")+COUNTIF(E17:Z17,"R*"))</f>
        <v/>
      </c>
      <c r="AB17" s="11">
        <f>IF('01_Apprenants'!B17="","",COUNTIF(E17:Z17,"A*"))</f>
        <v/>
      </c>
      <c r="AC17" s="19">
        <f>IF(COUNTA(E17:Z17)=0,"",AA17/COUNTA(E17:Z17))</f>
        <v/>
      </c>
    </row>
    <row r="18">
      <c r="A18" s="13" t="n">
        <v>15</v>
      </c>
      <c r="B18" s="11">
        <f>IF('01_Apprenants'!B18="","",'01_Apprenants'!B18)</f>
        <v/>
      </c>
      <c r="C18" s="11">
        <f>IF('01_Apprenants'!C18="","",'01_Apprenants'!C18)</f>
        <v/>
      </c>
      <c r="D18" s="11">
        <f>IF('01_Apprenants'!D18="","",'01_Apprenants'!D18)</f>
        <v/>
      </c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1">
        <f>IF('01_Apprenants'!B18="","",COUNTIF(E18:Z18,"P*")+COUNTIF(E18:Z18,"R*"))</f>
        <v/>
      </c>
      <c r="AB18" s="11">
        <f>IF('01_Apprenants'!B18="","",COUNTIF(E18:Z18,"A*"))</f>
        <v/>
      </c>
      <c r="AC18" s="19">
        <f>IF(COUNTA(E18:Z18)=0,"",AA18/COUNTA(E18:Z18))</f>
        <v/>
      </c>
    </row>
    <row r="19">
      <c r="A19" s="13" t="n">
        <v>16</v>
      </c>
      <c r="B19" s="11">
        <f>IF('01_Apprenants'!B19="","",'01_Apprenants'!B19)</f>
        <v/>
      </c>
      <c r="C19" s="11">
        <f>IF('01_Apprenants'!C19="","",'01_Apprenants'!C19)</f>
        <v/>
      </c>
      <c r="D19" s="11">
        <f>IF('01_Apprenants'!D19="","",'01_Apprenants'!D19)</f>
        <v/>
      </c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1">
        <f>IF('01_Apprenants'!B19="","",COUNTIF(E19:Z19,"P*")+COUNTIF(E19:Z19,"R*"))</f>
        <v/>
      </c>
      <c r="AB19" s="11">
        <f>IF('01_Apprenants'!B19="","",COUNTIF(E19:Z19,"A*"))</f>
        <v/>
      </c>
      <c r="AC19" s="19">
        <f>IF(COUNTA(E19:Z19)=0,"",AA19/COUNTA(E19:Z19))</f>
        <v/>
      </c>
    </row>
    <row r="20">
      <c r="A20" s="13" t="n">
        <v>17</v>
      </c>
      <c r="B20" s="11">
        <f>IF('01_Apprenants'!B20="","",'01_Apprenants'!B20)</f>
        <v/>
      </c>
      <c r="C20" s="11">
        <f>IF('01_Apprenants'!C20="","",'01_Apprenants'!C20)</f>
        <v/>
      </c>
      <c r="D20" s="11">
        <f>IF('01_Apprenants'!D20="","",'01_Apprenants'!D20)</f>
        <v/>
      </c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1">
        <f>IF('01_Apprenants'!B20="","",COUNTIF(E20:Z20,"P*")+COUNTIF(E20:Z20,"R*"))</f>
        <v/>
      </c>
      <c r="AB20" s="11">
        <f>IF('01_Apprenants'!B20="","",COUNTIF(E20:Z20,"A*"))</f>
        <v/>
      </c>
      <c r="AC20" s="19">
        <f>IF(COUNTA(E20:Z20)=0,"",AA20/COUNTA(E20:Z20))</f>
        <v/>
      </c>
    </row>
    <row r="21">
      <c r="A21" s="13" t="n">
        <v>18</v>
      </c>
      <c r="B21" s="11">
        <f>IF('01_Apprenants'!B21="","",'01_Apprenants'!B21)</f>
        <v/>
      </c>
      <c r="C21" s="11">
        <f>IF('01_Apprenants'!C21="","",'01_Apprenants'!C21)</f>
        <v/>
      </c>
      <c r="D21" s="11">
        <f>IF('01_Apprenants'!D21="","",'01_Apprenants'!D21)</f>
        <v/>
      </c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1">
        <f>IF('01_Apprenants'!B21="","",COUNTIF(E21:Z21,"P*")+COUNTIF(E21:Z21,"R*"))</f>
        <v/>
      </c>
      <c r="AB21" s="11">
        <f>IF('01_Apprenants'!B21="","",COUNTIF(E21:Z21,"A*"))</f>
        <v/>
      </c>
      <c r="AC21" s="19">
        <f>IF(COUNTA(E21:Z21)=0,"",AA21/COUNTA(E21:Z21))</f>
        <v/>
      </c>
    </row>
    <row r="22">
      <c r="A22" s="13" t="n">
        <v>19</v>
      </c>
      <c r="B22" s="11">
        <f>IF('01_Apprenants'!B22="","",'01_Apprenants'!B22)</f>
        <v/>
      </c>
      <c r="C22" s="11">
        <f>IF('01_Apprenants'!C22="","",'01_Apprenants'!C22)</f>
        <v/>
      </c>
      <c r="D22" s="11">
        <f>IF('01_Apprenants'!D22="","",'01_Apprenants'!D22)</f>
        <v/>
      </c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1">
        <f>IF('01_Apprenants'!B22="","",COUNTIF(E22:Z22,"P*")+COUNTIF(E22:Z22,"R*"))</f>
        <v/>
      </c>
      <c r="AB22" s="11">
        <f>IF('01_Apprenants'!B22="","",COUNTIF(E22:Z22,"A*"))</f>
        <v/>
      </c>
      <c r="AC22" s="19">
        <f>IF(COUNTA(E22:Z22)=0,"",AA22/COUNTA(E22:Z22))</f>
        <v/>
      </c>
    </row>
    <row r="23">
      <c r="A23" s="13" t="n">
        <v>20</v>
      </c>
      <c r="B23" s="11">
        <f>IF('01_Apprenants'!B23="","",'01_Apprenants'!B23)</f>
        <v/>
      </c>
      <c r="C23" s="11">
        <f>IF('01_Apprenants'!C23="","",'01_Apprenants'!C23)</f>
        <v/>
      </c>
      <c r="D23" s="11">
        <f>IF('01_Apprenants'!D23="","",'01_Apprenants'!D23)</f>
        <v/>
      </c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1">
        <f>IF('01_Apprenants'!B23="","",COUNTIF(E23:Z23,"P*")+COUNTIF(E23:Z23,"R*"))</f>
        <v/>
      </c>
      <c r="AB23" s="11">
        <f>IF('01_Apprenants'!B23="","",COUNTIF(E23:Z23,"A*"))</f>
        <v/>
      </c>
      <c r="AC23" s="19">
        <f>IF(COUNTA(E23:Z23)=0,"",AA23/COUNTA(E23:Z23))</f>
        <v/>
      </c>
    </row>
    <row r="24">
      <c r="A24" s="13" t="n">
        <v>21</v>
      </c>
      <c r="B24" s="11">
        <f>IF('01_Apprenants'!B24="","",'01_Apprenants'!B24)</f>
        <v/>
      </c>
      <c r="C24" s="11">
        <f>IF('01_Apprenants'!C24="","",'01_Apprenants'!C24)</f>
        <v/>
      </c>
      <c r="D24" s="11">
        <f>IF('01_Apprenants'!D24="","",'01_Apprenants'!D24)</f>
        <v/>
      </c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1">
        <f>IF('01_Apprenants'!B24="","",COUNTIF(E24:Z24,"P*")+COUNTIF(E24:Z24,"R*"))</f>
        <v/>
      </c>
      <c r="AB24" s="11">
        <f>IF('01_Apprenants'!B24="","",COUNTIF(E24:Z24,"A*"))</f>
        <v/>
      </c>
      <c r="AC24" s="19">
        <f>IF(COUNTA(E24:Z24)=0,"",AA24/COUNTA(E24:Z24))</f>
        <v/>
      </c>
    </row>
    <row r="25">
      <c r="A25" s="13" t="n">
        <v>22</v>
      </c>
      <c r="B25" s="11">
        <f>IF('01_Apprenants'!B25="","",'01_Apprenants'!B25)</f>
        <v/>
      </c>
      <c r="C25" s="11">
        <f>IF('01_Apprenants'!C25="","",'01_Apprenants'!C25)</f>
        <v/>
      </c>
      <c r="D25" s="11">
        <f>IF('01_Apprenants'!D25="","",'01_Apprenants'!D25)</f>
        <v/>
      </c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1">
        <f>IF('01_Apprenants'!B25="","",COUNTIF(E25:Z25,"P*")+COUNTIF(E25:Z25,"R*"))</f>
        <v/>
      </c>
      <c r="AB25" s="11">
        <f>IF('01_Apprenants'!B25="","",COUNTIF(E25:Z25,"A*"))</f>
        <v/>
      </c>
      <c r="AC25" s="19">
        <f>IF(COUNTA(E25:Z25)=0,"",AA25/COUNTA(E25:Z25))</f>
        <v/>
      </c>
    </row>
    <row r="26">
      <c r="A26" s="13" t="n">
        <v>23</v>
      </c>
      <c r="B26" s="11">
        <f>IF('01_Apprenants'!B26="","",'01_Apprenants'!B26)</f>
        <v/>
      </c>
      <c r="C26" s="11">
        <f>IF('01_Apprenants'!C26="","",'01_Apprenants'!C26)</f>
        <v/>
      </c>
      <c r="D26" s="11">
        <f>IF('01_Apprenants'!D26="","",'01_Apprenants'!D26)</f>
        <v/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1">
        <f>IF('01_Apprenants'!B26="","",COUNTIF(E26:Z26,"P*")+COUNTIF(E26:Z26,"R*"))</f>
        <v/>
      </c>
      <c r="AB26" s="11">
        <f>IF('01_Apprenants'!B26="","",COUNTIF(E26:Z26,"A*"))</f>
        <v/>
      </c>
      <c r="AC26" s="19">
        <f>IF(COUNTA(E26:Z26)=0,"",AA26/COUNTA(E26:Z26))</f>
        <v/>
      </c>
    </row>
    <row r="27">
      <c r="A27" s="13" t="n">
        <v>24</v>
      </c>
      <c r="B27" s="11">
        <f>IF('01_Apprenants'!B27="","",'01_Apprenants'!B27)</f>
        <v/>
      </c>
      <c r="C27" s="11">
        <f>IF('01_Apprenants'!C27="","",'01_Apprenants'!C27)</f>
        <v/>
      </c>
      <c r="D27" s="11">
        <f>IF('01_Apprenants'!D27="","",'01_Apprenants'!D27)</f>
        <v/>
      </c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1">
        <f>IF('01_Apprenants'!B27="","",COUNTIF(E27:Z27,"P*")+COUNTIF(E27:Z27,"R*"))</f>
        <v/>
      </c>
      <c r="AB27" s="11">
        <f>IF('01_Apprenants'!B27="","",COUNTIF(E27:Z27,"A*"))</f>
        <v/>
      </c>
      <c r="AC27" s="19">
        <f>IF(COUNTA(E27:Z27)=0,"",AA27/COUNTA(E27:Z27))</f>
        <v/>
      </c>
    </row>
    <row r="28">
      <c r="A28" s="13" t="n">
        <v>25</v>
      </c>
      <c r="B28" s="11">
        <f>IF('01_Apprenants'!B28="","",'01_Apprenants'!B28)</f>
        <v/>
      </c>
      <c r="C28" s="11">
        <f>IF('01_Apprenants'!C28="","",'01_Apprenants'!C28)</f>
        <v/>
      </c>
      <c r="D28" s="11">
        <f>IF('01_Apprenants'!D28="","",'01_Apprenants'!D28)</f>
        <v/>
      </c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1">
        <f>IF('01_Apprenants'!B28="","",COUNTIF(E28:Z28,"P*")+COUNTIF(E28:Z28,"R*"))</f>
        <v/>
      </c>
      <c r="AB28" s="11">
        <f>IF('01_Apprenants'!B28="","",COUNTIF(E28:Z28,"A*"))</f>
        <v/>
      </c>
      <c r="AC28" s="19">
        <f>IF(COUNTA(E28:Z28)=0,"",AA28/COUNTA(E28:Z28))</f>
        <v/>
      </c>
    </row>
    <row r="29">
      <c r="A29" s="13" t="n">
        <v>26</v>
      </c>
      <c r="B29" s="11">
        <f>IF('01_Apprenants'!B29="","",'01_Apprenants'!B29)</f>
        <v/>
      </c>
      <c r="C29" s="11">
        <f>IF('01_Apprenants'!C29="","",'01_Apprenants'!C29)</f>
        <v/>
      </c>
      <c r="D29" s="11">
        <f>IF('01_Apprenants'!D29="","",'01_Apprenants'!D29)</f>
        <v/>
      </c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1">
        <f>IF('01_Apprenants'!B29="","",COUNTIF(E29:Z29,"P*")+COUNTIF(E29:Z29,"R*"))</f>
        <v/>
      </c>
      <c r="AB29" s="11">
        <f>IF('01_Apprenants'!B29="","",COUNTIF(E29:Z29,"A*"))</f>
        <v/>
      </c>
      <c r="AC29" s="19">
        <f>IF(COUNTA(E29:Z29)=0,"",AA29/COUNTA(E29:Z29))</f>
        <v/>
      </c>
    </row>
    <row r="30">
      <c r="A30" s="13" t="n">
        <v>27</v>
      </c>
      <c r="B30" s="11">
        <f>IF('01_Apprenants'!B30="","",'01_Apprenants'!B30)</f>
        <v/>
      </c>
      <c r="C30" s="11">
        <f>IF('01_Apprenants'!C30="","",'01_Apprenants'!C30)</f>
        <v/>
      </c>
      <c r="D30" s="11">
        <f>IF('01_Apprenants'!D30="","",'01_Apprenants'!D30)</f>
        <v/>
      </c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1">
        <f>IF('01_Apprenants'!B30="","",COUNTIF(E30:Z30,"P*")+COUNTIF(E30:Z30,"R*"))</f>
        <v/>
      </c>
      <c r="AB30" s="11">
        <f>IF('01_Apprenants'!B30="","",COUNTIF(E30:Z30,"A*"))</f>
        <v/>
      </c>
      <c r="AC30" s="19">
        <f>IF(COUNTA(E30:Z30)=0,"",AA30/COUNTA(E30:Z30))</f>
        <v/>
      </c>
    </row>
    <row r="31">
      <c r="A31" s="13" t="n">
        <v>28</v>
      </c>
      <c r="B31" s="11">
        <f>IF('01_Apprenants'!B31="","",'01_Apprenants'!B31)</f>
        <v/>
      </c>
      <c r="C31" s="11">
        <f>IF('01_Apprenants'!C31="","",'01_Apprenants'!C31)</f>
        <v/>
      </c>
      <c r="D31" s="11">
        <f>IF('01_Apprenants'!D31="","",'01_Apprenants'!D31)</f>
        <v/>
      </c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1">
        <f>IF('01_Apprenants'!B31="","",COUNTIF(E31:Z31,"P*")+COUNTIF(E31:Z31,"R*"))</f>
        <v/>
      </c>
      <c r="AB31" s="11">
        <f>IF('01_Apprenants'!B31="","",COUNTIF(E31:Z31,"A*"))</f>
        <v/>
      </c>
      <c r="AC31" s="19">
        <f>IF(COUNTA(E31:Z31)=0,"",AA31/COUNTA(E31:Z31))</f>
        <v/>
      </c>
    </row>
    <row r="32">
      <c r="A32" s="13" t="n">
        <v>29</v>
      </c>
      <c r="B32" s="11">
        <f>IF('01_Apprenants'!B32="","",'01_Apprenants'!B32)</f>
        <v/>
      </c>
      <c r="C32" s="11">
        <f>IF('01_Apprenants'!C32="","",'01_Apprenants'!C32)</f>
        <v/>
      </c>
      <c r="D32" s="11">
        <f>IF('01_Apprenants'!D32="","",'01_Apprenants'!D32)</f>
        <v/>
      </c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1">
        <f>IF('01_Apprenants'!B32="","",COUNTIF(E32:Z32,"P*")+COUNTIF(E32:Z32,"R*"))</f>
        <v/>
      </c>
      <c r="AB32" s="11">
        <f>IF('01_Apprenants'!B32="","",COUNTIF(E32:Z32,"A*"))</f>
        <v/>
      </c>
      <c r="AC32" s="19">
        <f>IF(COUNTA(E32:Z32)=0,"",AA32/COUNTA(E32:Z32))</f>
        <v/>
      </c>
    </row>
    <row r="33">
      <c r="A33" s="13" t="n">
        <v>30</v>
      </c>
      <c r="B33" s="11">
        <f>IF('01_Apprenants'!B33="","",'01_Apprenants'!B33)</f>
        <v/>
      </c>
      <c r="C33" s="11">
        <f>IF('01_Apprenants'!C33="","",'01_Apprenants'!C33)</f>
        <v/>
      </c>
      <c r="D33" s="11">
        <f>IF('01_Apprenants'!D33="","",'01_Apprenants'!D33)</f>
        <v/>
      </c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1">
        <f>IF('01_Apprenants'!B33="","",COUNTIF(E33:Z33,"P*")+COUNTIF(E33:Z33,"R*"))</f>
        <v/>
      </c>
      <c r="AB33" s="11">
        <f>IF('01_Apprenants'!B33="","",COUNTIF(E33:Z33,"A*"))</f>
        <v/>
      </c>
      <c r="AC33" s="19">
        <f>IF(COUNTA(E33:Z33)=0,"",AA33/COUNTA(E33:Z33))</f>
        <v/>
      </c>
    </row>
  </sheetData>
  <mergeCells count="2">
    <mergeCell ref="A2:AC2"/>
    <mergeCell ref="A1:AC1"/>
  </mergeCells>
  <conditionalFormatting sqref="AC4:AC33">
    <cfRule type="cellIs" priority="1" operator="lessThan" dxfId="2">
      <formula>0.85</formula>
    </cfRule>
  </conditionalFormatting>
  <dataValidations count="1">
    <dataValidation sqref="E4:Z33" showDropDown="0" showInputMessage="0" showErrorMessage="0" allowBlank="1" errorTitle="Valeur non prevue" error="Choisissez une valeur dans la liste." type="list">
      <formula1>'13_Listes'!$C$4:$C$7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3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16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10" customWidth="1" min="27" max="27"/>
    <col width="10" customWidth="1" min="28" max="28"/>
    <col width="10" customWidth="1" min="29" max="29"/>
    <col width="14" customWidth="1" min="30" max="30"/>
  </cols>
  <sheetData>
    <row r="1" ht="24" customHeight="1">
      <c r="A1" s="1" t="inlineStr">
        <is>
          <t>SUIVI DES SEANCES  -  QUI A PRODUIT SA BRIQUE ?</t>
        </is>
      </c>
    </row>
    <row r="2">
      <c r="A2" s="6" t="inlineStr">
        <is>
          <t>V-Bleue / V-Rouge / V-Noire = brique produite, et sur quelle piste.  Partielle = commencee mais pas finie.  Rien = rien produit. La colonne ALERTE passe a OUI apres deux seances de suite sans production.</t>
        </is>
      </c>
    </row>
    <row r="3" ht="30" customHeight="1">
      <c r="A3" s="7" t="inlineStr">
        <is>
          <t>N°</t>
        </is>
      </c>
      <c r="B3" s="7" t="inlineStr">
        <is>
          <t>NOM</t>
        </is>
      </c>
      <c r="C3" s="7" t="inlineStr">
        <is>
          <t>Prenom</t>
        </is>
      </c>
      <c r="D3" s="7" t="inlineStr">
        <is>
          <t>Classe</t>
        </is>
      </c>
      <c r="E3" s="7" t="inlineStr">
        <is>
          <t>S01</t>
        </is>
      </c>
      <c r="F3" s="7" t="inlineStr">
        <is>
          <t>S02</t>
        </is>
      </c>
      <c r="G3" s="7" t="inlineStr">
        <is>
          <t>S03</t>
        </is>
      </c>
      <c r="H3" s="7" t="inlineStr">
        <is>
          <t>S04</t>
        </is>
      </c>
      <c r="I3" s="7" t="inlineStr">
        <is>
          <t>S05</t>
        </is>
      </c>
      <c r="J3" s="7" t="inlineStr">
        <is>
          <t>S06</t>
        </is>
      </c>
      <c r="K3" s="7" t="inlineStr">
        <is>
          <t>S07</t>
        </is>
      </c>
      <c r="L3" s="7" t="inlineStr">
        <is>
          <t>S08</t>
        </is>
      </c>
      <c r="M3" s="7" t="inlineStr">
        <is>
          <t>S09</t>
        </is>
      </c>
      <c r="N3" s="7" t="inlineStr">
        <is>
          <t>S10</t>
        </is>
      </c>
      <c r="O3" s="7" t="inlineStr">
        <is>
          <t>S11</t>
        </is>
      </c>
      <c r="P3" s="7" t="inlineStr">
        <is>
          <t>S12</t>
        </is>
      </c>
      <c r="Q3" s="7" t="inlineStr">
        <is>
          <t>S13</t>
        </is>
      </c>
      <c r="R3" s="7" t="inlineStr">
        <is>
          <t>S14</t>
        </is>
      </c>
      <c r="S3" s="7" t="inlineStr">
        <is>
          <t>S15</t>
        </is>
      </c>
      <c r="T3" s="7" t="inlineStr">
        <is>
          <t>S16</t>
        </is>
      </c>
      <c r="U3" s="7" t="inlineStr">
        <is>
          <t>S17</t>
        </is>
      </c>
      <c r="V3" s="7" t="inlineStr">
        <is>
          <t>S18</t>
        </is>
      </c>
      <c r="W3" s="7" t="inlineStr">
        <is>
          <t>S19</t>
        </is>
      </c>
      <c r="X3" s="7" t="inlineStr">
        <is>
          <t>S20</t>
        </is>
      </c>
      <c r="Y3" s="7" t="inlineStr">
        <is>
          <t>S21</t>
        </is>
      </c>
      <c r="Z3" s="7" t="inlineStr">
        <is>
          <t>S22</t>
        </is>
      </c>
      <c r="AA3" s="7" t="inlineStr">
        <is>
          <t>Briques</t>
        </is>
      </c>
      <c r="AB3" s="7" t="inlineStr">
        <is>
          <t>Partielles</t>
        </is>
      </c>
      <c r="AC3" s="7" t="inlineStr">
        <is>
          <t>Manquees</t>
        </is>
      </c>
      <c r="AD3" s="7" t="inlineStr">
        <is>
          <t>ALERTE 10 min</t>
        </is>
      </c>
    </row>
    <row r="4">
      <c r="A4" s="13" t="n">
        <v>1</v>
      </c>
      <c r="B4" s="11">
        <f>IF('01_Apprenants'!B4="","",'01_Apprenants'!B4)</f>
        <v/>
      </c>
      <c r="C4" s="11">
        <f>IF('01_Apprenants'!C4="","",'01_Apprenants'!C4)</f>
        <v/>
      </c>
      <c r="D4" s="11">
        <f>IF('01_Apprenants'!D4="","",'01_Apprenants'!D4)</f>
        <v/>
      </c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  <c r="AA4" s="11">
        <f>IF('01_Apprenants'!B4="","",COUNTIF(E4:Z4,"V*"))</f>
        <v/>
      </c>
      <c r="AB4" s="11">
        <f>IF('01_Apprenants'!B4="","",COUNTIF(E4:Z4,"Partielle"))</f>
        <v/>
      </c>
      <c r="AC4" s="11">
        <f>IF('01_Apprenants'!B4="","",COUNTIF(E4:Z4,"Rien"))</f>
        <v/>
      </c>
      <c r="AD4" s="11">
        <f>IF(SUMPRODUCT(((E4:Y4="Partielle")+(E4:Y4="Rien"))*((F4:Z4="Partielle")+(F4:Z4="Rien")))&gt;0,"OUI","")</f>
        <v/>
      </c>
    </row>
    <row r="5">
      <c r="A5" s="13" t="n">
        <v>2</v>
      </c>
      <c r="B5" s="11">
        <f>IF('01_Apprenants'!B5="","",'01_Apprenants'!B5)</f>
        <v/>
      </c>
      <c r="C5" s="11">
        <f>IF('01_Apprenants'!C5="","",'01_Apprenants'!C5)</f>
        <v/>
      </c>
      <c r="D5" s="11">
        <f>IF('01_Apprenants'!D5="","",'01_Apprenants'!D5)</f>
        <v/>
      </c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1">
        <f>IF('01_Apprenants'!B5="","",COUNTIF(E5:Z5,"V*"))</f>
        <v/>
      </c>
      <c r="AB5" s="11">
        <f>IF('01_Apprenants'!B5="","",COUNTIF(E5:Z5,"Partielle"))</f>
        <v/>
      </c>
      <c r="AC5" s="11">
        <f>IF('01_Apprenants'!B5="","",COUNTIF(E5:Z5,"Rien"))</f>
        <v/>
      </c>
      <c r="AD5" s="11">
        <f>IF(SUMPRODUCT(((E5:Y5="Partielle")+(E5:Y5="Rien"))*((F5:Z5="Partielle")+(F5:Z5="Rien")))&gt;0,"OUI","")</f>
        <v/>
      </c>
    </row>
    <row r="6">
      <c r="A6" s="13" t="n">
        <v>3</v>
      </c>
      <c r="B6" s="11">
        <f>IF('01_Apprenants'!B6="","",'01_Apprenants'!B6)</f>
        <v/>
      </c>
      <c r="C6" s="11">
        <f>IF('01_Apprenants'!C6="","",'01_Apprenants'!C6)</f>
        <v/>
      </c>
      <c r="D6" s="11">
        <f>IF('01_Apprenants'!D6="","",'01_Apprenants'!D6)</f>
        <v/>
      </c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1">
        <f>IF('01_Apprenants'!B6="","",COUNTIF(E6:Z6,"V*"))</f>
        <v/>
      </c>
      <c r="AB6" s="11">
        <f>IF('01_Apprenants'!B6="","",COUNTIF(E6:Z6,"Partielle"))</f>
        <v/>
      </c>
      <c r="AC6" s="11">
        <f>IF('01_Apprenants'!B6="","",COUNTIF(E6:Z6,"Rien"))</f>
        <v/>
      </c>
      <c r="AD6" s="11">
        <f>IF(SUMPRODUCT(((E6:Y6="Partielle")+(E6:Y6="Rien"))*((F6:Z6="Partielle")+(F6:Z6="Rien")))&gt;0,"OUI","")</f>
        <v/>
      </c>
    </row>
    <row r="7">
      <c r="A7" s="13" t="n">
        <v>4</v>
      </c>
      <c r="B7" s="11">
        <f>IF('01_Apprenants'!B7="","",'01_Apprenants'!B7)</f>
        <v/>
      </c>
      <c r="C7" s="11">
        <f>IF('01_Apprenants'!C7="","",'01_Apprenants'!C7)</f>
        <v/>
      </c>
      <c r="D7" s="11">
        <f>IF('01_Apprenants'!D7="","",'01_Apprenants'!D7)</f>
        <v/>
      </c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1">
        <f>IF('01_Apprenants'!B7="","",COUNTIF(E7:Z7,"V*"))</f>
        <v/>
      </c>
      <c r="AB7" s="11">
        <f>IF('01_Apprenants'!B7="","",COUNTIF(E7:Z7,"Partielle"))</f>
        <v/>
      </c>
      <c r="AC7" s="11">
        <f>IF('01_Apprenants'!B7="","",COUNTIF(E7:Z7,"Rien"))</f>
        <v/>
      </c>
      <c r="AD7" s="11">
        <f>IF(SUMPRODUCT(((E7:Y7="Partielle")+(E7:Y7="Rien"))*((F7:Z7="Partielle")+(F7:Z7="Rien")))&gt;0,"OUI","")</f>
        <v/>
      </c>
    </row>
    <row r="8">
      <c r="A8" s="13" t="n">
        <v>5</v>
      </c>
      <c r="B8" s="11">
        <f>IF('01_Apprenants'!B8="","",'01_Apprenants'!B8)</f>
        <v/>
      </c>
      <c r="C8" s="11">
        <f>IF('01_Apprenants'!C8="","",'01_Apprenants'!C8)</f>
        <v/>
      </c>
      <c r="D8" s="11">
        <f>IF('01_Apprenants'!D8="","",'01_Apprenants'!D8)</f>
        <v/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1">
        <f>IF('01_Apprenants'!B8="","",COUNTIF(E8:Z8,"V*"))</f>
        <v/>
      </c>
      <c r="AB8" s="11">
        <f>IF('01_Apprenants'!B8="","",COUNTIF(E8:Z8,"Partielle"))</f>
        <v/>
      </c>
      <c r="AC8" s="11">
        <f>IF('01_Apprenants'!B8="","",COUNTIF(E8:Z8,"Rien"))</f>
        <v/>
      </c>
      <c r="AD8" s="11">
        <f>IF(SUMPRODUCT(((E8:Y8="Partielle")+(E8:Y8="Rien"))*((F8:Z8="Partielle")+(F8:Z8="Rien")))&gt;0,"OUI","")</f>
        <v/>
      </c>
    </row>
    <row r="9">
      <c r="A9" s="13" t="n">
        <v>6</v>
      </c>
      <c r="B9" s="11">
        <f>IF('01_Apprenants'!B9="","",'01_Apprenants'!B9)</f>
        <v/>
      </c>
      <c r="C9" s="11">
        <f>IF('01_Apprenants'!C9="","",'01_Apprenants'!C9)</f>
        <v/>
      </c>
      <c r="D9" s="11">
        <f>IF('01_Apprenants'!D9="","",'01_Apprenants'!D9)</f>
        <v/>
      </c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1">
        <f>IF('01_Apprenants'!B9="","",COUNTIF(E9:Z9,"V*"))</f>
        <v/>
      </c>
      <c r="AB9" s="11">
        <f>IF('01_Apprenants'!B9="","",COUNTIF(E9:Z9,"Partielle"))</f>
        <v/>
      </c>
      <c r="AC9" s="11">
        <f>IF('01_Apprenants'!B9="","",COUNTIF(E9:Z9,"Rien"))</f>
        <v/>
      </c>
      <c r="AD9" s="11">
        <f>IF(SUMPRODUCT(((E9:Y9="Partielle")+(E9:Y9="Rien"))*((F9:Z9="Partielle")+(F9:Z9="Rien")))&gt;0,"OUI","")</f>
        <v/>
      </c>
    </row>
    <row r="10">
      <c r="A10" s="13" t="n">
        <v>7</v>
      </c>
      <c r="B10" s="11">
        <f>IF('01_Apprenants'!B10="","",'01_Apprenants'!B10)</f>
        <v/>
      </c>
      <c r="C10" s="11">
        <f>IF('01_Apprenants'!C10="","",'01_Apprenants'!C10)</f>
        <v/>
      </c>
      <c r="D10" s="11">
        <f>IF('01_Apprenants'!D10="","",'01_Apprenants'!D10)</f>
        <v/>
      </c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1">
        <f>IF('01_Apprenants'!B10="","",COUNTIF(E10:Z10,"V*"))</f>
        <v/>
      </c>
      <c r="AB10" s="11">
        <f>IF('01_Apprenants'!B10="","",COUNTIF(E10:Z10,"Partielle"))</f>
        <v/>
      </c>
      <c r="AC10" s="11">
        <f>IF('01_Apprenants'!B10="","",COUNTIF(E10:Z10,"Rien"))</f>
        <v/>
      </c>
      <c r="AD10" s="11">
        <f>IF(SUMPRODUCT(((E10:Y10="Partielle")+(E10:Y10="Rien"))*((F10:Z10="Partielle")+(F10:Z10="Rien")))&gt;0,"OUI","")</f>
        <v/>
      </c>
    </row>
    <row r="11">
      <c r="A11" s="13" t="n">
        <v>8</v>
      </c>
      <c r="B11" s="11">
        <f>IF('01_Apprenants'!B11="","",'01_Apprenants'!B11)</f>
        <v/>
      </c>
      <c r="C11" s="11">
        <f>IF('01_Apprenants'!C11="","",'01_Apprenants'!C11)</f>
        <v/>
      </c>
      <c r="D11" s="11">
        <f>IF('01_Apprenants'!D11="","",'01_Apprenants'!D11)</f>
        <v/>
      </c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1">
        <f>IF('01_Apprenants'!B11="","",COUNTIF(E11:Z11,"V*"))</f>
        <v/>
      </c>
      <c r="AB11" s="11">
        <f>IF('01_Apprenants'!B11="","",COUNTIF(E11:Z11,"Partielle"))</f>
        <v/>
      </c>
      <c r="AC11" s="11">
        <f>IF('01_Apprenants'!B11="","",COUNTIF(E11:Z11,"Rien"))</f>
        <v/>
      </c>
      <c r="AD11" s="11">
        <f>IF(SUMPRODUCT(((E11:Y11="Partielle")+(E11:Y11="Rien"))*((F11:Z11="Partielle")+(F11:Z11="Rien")))&gt;0,"OUI","")</f>
        <v/>
      </c>
    </row>
    <row r="12">
      <c r="A12" s="13" t="n">
        <v>9</v>
      </c>
      <c r="B12" s="11">
        <f>IF('01_Apprenants'!B12="","",'01_Apprenants'!B12)</f>
        <v/>
      </c>
      <c r="C12" s="11">
        <f>IF('01_Apprenants'!C12="","",'01_Apprenants'!C12)</f>
        <v/>
      </c>
      <c r="D12" s="11">
        <f>IF('01_Apprenants'!D12="","",'01_Apprenants'!D12)</f>
        <v/>
      </c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1">
        <f>IF('01_Apprenants'!B12="","",COUNTIF(E12:Z12,"V*"))</f>
        <v/>
      </c>
      <c r="AB12" s="11">
        <f>IF('01_Apprenants'!B12="","",COUNTIF(E12:Z12,"Partielle"))</f>
        <v/>
      </c>
      <c r="AC12" s="11">
        <f>IF('01_Apprenants'!B12="","",COUNTIF(E12:Z12,"Rien"))</f>
        <v/>
      </c>
      <c r="AD12" s="11">
        <f>IF(SUMPRODUCT(((E12:Y12="Partielle")+(E12:Y12="Rien"))*((F12:Z12="Partielle")+(F12:Z12="Rien")))&gt;0,"OUI","")</f>
        <v/>
      </c>
    </row>
    <row r="13">
      <c r="A13" s="13" t="n">
        <v>10</v>
      </c>
      <c r="B13" s="11">
        <f>IF('01_Apprenants'!B13="","",'01_Apprenants'!B13)</f>
        <v/>
      </c>
      <c r="C13" s="11">
        <f>IF('01_Apprenants'!C13="","",'01_Apprenants'!C13)</f>
        <v/>
      </c>
      <c r="D13" s="11">
        <f>IF('01_Apprenants'!D13="","",'01_Apprenants'!D13)</f>
        <v/>
      </c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1">
        <f>IF('01_Apprenants'!B13="","",COUNTIF(E13:Z13,"V*"))</f>
        <v/>
      </c>
      <c r="AB13" s="11">
        <f>IF('01_Apprenants'!B13="","",COUNTIF(E13:Z13,"Partielle"))</f>
        <v/>
      </c>
      <c r="AC13" s="11">
        <f>IF('01_Apprenants'!B13="","",COUNTIF(E13:Z13,"Rien"))</f>
        <v/>
      </c>
      <c r="AD13" s="11">
        <f>IF(SUMPRODUCT(((E13:Y13="Partielle")+(E13:Y13="Rien"))*((F13:Z13="Partielle")+(F13:Z13="Rien")))&gt;0,"OUI","")</f>
        <v/>
      </c>
    </row>
    <row r="14">
      <c r="A14" s="13" t="n">
        <v>11</v>
      </c>
      <c r="B14" s="11">
        <f>IF('01_Apprenants'!B14="","",'01_Apprenants'!B14)</f>
        <v/>
      </c>
      <c r="C14" s="11">
        <f>IF('01_Apprenants'!C14="","",'01_Apprenants'!C14)</f>
        <v/>
      </c>
      <c r="D14" s="11">
        <f>IF('01_Apprenants'!D14="","",'01_Apprenants'!D14)</f>
        <v/>
      </c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1">
        <f>IF('01_Apprenants'!B14="","",COUNTIF(E14:Z14,"V*"))</f>
        <v/>
      </c>
      <c r="AB14" s="11">
        <f>IF('01_Apprenants'!B14="","",COUNTIF(E14:Z14,"Partielle"))</f>
        <v/>
      </c>
      <c r="AC14" s="11">
        <f>IF('01_Apprenants'!B14="","",COUNTIF(E14:Z14,"Rien"))</f>
        <v/>
      </c>
      <c r="AD14" s="11">
        <f>IF(SUMPRODUCT(((E14:Y14="Partielle")+(E14:Y14="Rien"))*((F14:Z14="Partielle")+(F14:Z14="Rien")))&gt;0,"OUI","")</f>
        <v/>
      </c>
    </row>
    <row r="15">
      <c r="A15" s="13" t="n">
        <v>12</v>
      </c>
      <c r="B15" s="11">
        <f>IF('01_Apprenants'!B15="","",'01_Apprenants'!B15)</f>
        <v/>
      </c>
      <c r="C15" s="11">
        <f>IF('01_Apprenants'!C15="","",'01_Apprenants'!C15)</f>
        <v/>
      </c>
      <c r="D15" s="11">
        <f>IF('01_Apprenants'!D15="","",'01_Apprenants'!D15)</f>
        <v/>
      </c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1">
        <f>IF('01_Apprenants'!B15="","",COUNTIF(E15:Z15,"V*"))</f>
        <v/>
      </c>
      <c r="AB15" s="11">
        <f>IF('01_Apprenants'!B15="","",COUNTIF(E15:Z15,"Partielle"))</f>
        <v/>
      </c>
      <c r="AC15" s="11">
        <f>IF('01_Apprenants'!B15="","",COUNTIF(E15:Z15,"Rien"))</f>
        <v/>
      </c>
      <c r="AD15" s="11">
        <f>IF(SUMPRODUCT(((E15:Y15="Partielle")+(E15:Y15="Rien"))*((F15:Z15="Partielle")+(F15:Z15="Rien")))&gt;0,"OUI","")</f>
        <v/>
      </c>
    </row>
    <row r="16">
      <c r="A16" s="13" t="n">
        <v>13</v>
      </c>
      <c r="B16" s="11">
        <f>IF('01_Apprenants'!B16="","",'01_Apprenants'!B16)</f>
        <v/>
      </c>
      <c r="C16" s="11">
        <f>IF('01_Apprenants'!C16="","",'01_Apprenants'!C16)</f>
        <v/>
      </c>
      <c r="D16" s="11">
        <f>IF('01_Apprenants'!D16="","",'01_Apprenants'!D16)</f>
        <v/>
      </c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1">
        <f>IF('01_Apprenants'!B16="","",COUNTIF(E16:Z16,"V*"))</f>
        <v/>
      </c>
      <c r="AB16" s="11">
        <f>IF('01_Apprenants'!B16="","",COUNTIF(E16:Z16,"Partielle"))</f>
        <v/>
      </c>
      <c r="AC16" s="11">
        <f>IF('01_Apprenants'!B16="","",COUNTIF(E16:Z16,"Rien"))</f>
        <v/>
      </c>
      <c r="AD16" s="11">
        <f>IF(SUMPRODUCT(((E16:Y16="Partielle")+(E16:Y16="Rien"))*((F16:Z16="Partielle")+(F16:Z16="Rien")))&gt;0,"OUI","")</f>
        <v/>
      </c>
    </row>
    <row r="17">
      <c r="A17" s="13" t="n">
        <v>14</v>
      </c>
      <c r="B17" s="11">
        <f>IF('01_Apprenants'!B17="","",'01_Apprenants'!B17)</f>
        <v/>
      </c>
      <c r="C17" s="11">
        <f>IF('01_Apprenants'!C17="","",'01_Apprenants'!C17)</f>
        <v/>
      </c>
      <c r="D17" s="11">
        <f>IF('01_Apprenants'!D17="","",'01_Apprenants'!D17)</f>
        <v/>
      </c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1">
        <f>IF('01_Apprenants'!B17="","",COUNTIF(E17:Z17,"V*"))</f>
        <v/>
      </c>
      <c r="AB17" s="11">
        <f>IF('01_Apprenants'!B17="","",COUNTIF(E17:Z17,"Partielle"))</f>
        <v/>
      </c>
      <c r="AC17" s="11">
        <f>IF('01_Apprenants'!B17="","",COUNTIF(E17:Z17,"Rien"))</f>
        <v/>
      </c>
      <c r="AD17" s="11">
        <f>IF(SUMPRODUCT(((E17:Y17="Partielle")+(E17:Y17="Rien"))*((F17:Z17="Partielle")+(F17:Z17="Rien")))&gt;0,"OUI","")</f>
        <v/>
      </c>
    </row>
    <row r="18">
      <c r="A18" s="13" t="n">
        <v>15</v>
      </c>
      <c r="B18" s="11">
        <f>IF('01_Apprenants'!B18="","",'01_Apprenants'!B18)</f>
        <v/>
      </c>
      <c r="C18" s="11">
        <f>IF('01_Apprenants'!C18="","",'01_Apprenants'!C18)</f>
        <v/>
      </c>
      <c r="D18" s="11">
        <f>IF('01_Apprenants'!D18="","",'01_Apprenants'!D18)</f>
        <v/>
      </c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1">
        <f>IF('01_Apprenants'!B18="","",COUNTIF(E18:Z18,"V*"))</f>
        <v/>
      </c>
      <c r="AB18" s="11">
        <f>IF('01_Apprenants'!B18="","",COUNTIF(E18:Z18,"Partielle"))</f>
        <v/>
      </c>
      <c r="AC18" s="11">
        <f>IF('01_Apprenants'!B18="","",COUNTIF(E18:Z18,"Rien"))</f>
        <v/>
      </c>
      <c r="AD18" s="11">
        <f>IF(SUMPRODUCT(((E18:Y18="Partielle")+(E18:Y18="Rien"))*((F18:Z18="Partielle")+(F18:Z18="Rien")))&gt;0,"OUI","")</f>
        <v/>
      </c>
    </row>
    <row r="19">
      <c r="A19" s="13" t="n">
        <v>16</v>
      </c>
      <c r="B19" s="11">
        <f>IF('01_Apprenants'!B19="","",'01_Apprenants'!B19)</f>
        <v/>
      </c>
      <c r="C19" s="11">
        <f>IF('01_Apprenants'!C19="","",'01_Apprenants'!C19)</f>
        <v/>
      </c>
      <c r="D19" s="11">
        <f>IF('01_Apprenants'!D19="","",'01_Apprenants'!D19)</f>
        <v/>
      </c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1">
        <f>IF('01_Apprenants'!B19="","",COUNTIF(E19:Z19,"V*"))</f>
        <v/>
      </c>
      <c r="AB19" s="11">
        <f>IF('01_Apprenants'!B19="","",COUNTIF(E19:Z19,"Partielle"))</f>
        <v/>
      </c>
      <c r="AC19" s="11">
        <f>IF('01_Apprenants'!B19="","",COUNTIF(E19:Z19,"Rien"))</f>
        <v/>
      </c>
      <c r="AD19" s="11">
        <f>IF(SUMPRODUCT(((E19:Y19="Partielle")+(E19:Y19="Rien"))*((F19:Z19="Partielle")+(F19:Z19="Rien")))&gt;0,"OUI","")</f>
        <v/>
      </c>
    </row>
    <row r="20">
      <c r="A20" s="13" t="n">
        <v>17</v>
      </c>
      <c r="B20" s="11">
        <f>IF('01_Apprenants'!B20="","",'01_Apprenants'!B20)</f>
        <v/>
      </c>
      <c r="C20" s="11">
        <f>IF('01_Apprenants'!C20="","",'01_Apprenants'!C20)</f>
        <v/>
      </c>
      <c r="D20" s="11">
        <f>IF('01_Apprenants'!D20="","",'01_Apprenants'!D20)</f>
        <v/>
      </c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1">
        <f>IF('01_Apprenants'!B20="","",COUNTIF(E20:Z20,"V*"))</f>
        <v/>
      </c>
      <c r="AB20" s="11">
        <f>IF('01_Apprenants'!B20="","",COUNTIF(E20:Z20,"Partielle"))</f>
        <v/>
      </c>
      <c r="AC20" s="11">
        <f>IF('01_Apprenants'!B20="","",COUNTIF(E20:Z20,"Rien"))</f>
        <v/>
      </c>
      <c r="AD20" s="11">
        <f>IF(SUMPRODUCT(((E20:Y20="Partielle")+(E20:Y20="Rien"))*((F20:Z20="Partielle")+(F20:Z20="Rien")))&gt;0,"OUI","")</f>
        <v/>
      </c>
    </row>
    <row r="21">
      <c r="A21" s="13" t="n">
        <v>18</v>
      </c>
      <c r="B21" s="11">
        <f>IF('01_Apprenants'!B21="","",'01_Apprenants'!B21)</f>
        <v/>
      </c>
      <c r="C21" s="11">
        <f>IF('01_Apprenants'!C21="","",'01_Apprenants'!C21)</f>
        <v/>
      </c>
      <c r="D21" s="11">
        <f>IF('01_Apprenants'!D21="","",'01_Apprenants'!D21)</f>
        <v/>
      </c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1">
        <f>IF('01_Apprenants'!B21="","",COUNTIF(E21:Z21,"V*"))</f>
        <v/>
      </c>
      <c r="AB21" s="11">
        <f>IF('01_Apprenants'!B21="","",COUNTIF(E21:Z21,"Partielle"))</f>
        <v/>
      </c>
      <c r="AC21" s="11">
        <f>IF('01_Apprenants'!B21="","",COUNTIF(E21:Z21,"Rien"))</f>
        <v/>
      </c>
      <c r="AD21" s="11">
        <f>IF(SUMPRODUCT(((E21:Y21="Partielle")+(E21:Y21="Rien"))*((F21:Z21="Partielle")+(F21:Z21="Rien")))&gt;0,"OUI","")</f>
        <v/>
      </c>
    </row>
    <row r="22">
      <c r="A22" s="13" t="n">
        <v>19</v>
      </c>
      <c r="B22" s="11">
        <f>IF('01_Apprenants'!B22="","",'01_Apprenants'!B22)</f>
        <v/>
      </c>
      <c r="C22" s="11">
        <f>IF('01_Apprenants'!C22="","",'01_Apprenants'!C22)</f>
        <v/>
      </c>
      <c r="D22" s="11">
        <f>IF('01_Apprenants'!D22="","",'01_Apprenants'!D22)</f>
        <v/>
      </c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1">
        <f>IF('01_Apprenants'!B22="","",COUNTIF(E22:Z22,"V*"))</f>
        <v/>
      </c>
      <c r="AB22" s="11">
        <f>IF('01_Apprenants'!B22="","",COUNTIF(E22:Z22,"Partielle"))</f>
        <v/>
      </c>
      <c r="AC22" s="11">
        <f>IF('01_Apprenants'!B22="","",COUNTIF(E22:Z22,"Rien"))</f>
        <v/>
      </c>
      <c r="AD22" s="11">
        <f>IF(SUMPRODUCT(((E22:Y22="Partielle")+(E22:Y22="Rien"))*((F22:Z22="Partielle")+(F22:Z22="Rien")))&gt;0,"OUI","")</f>
        <v/>
      </c>
    </row>
    <row r="23">
      <c r="A23" s="13" t="n">
        <v>20</v>
      </c>
      <c r="B23" s="11">
        <f>IF('01_Apprenants'!B23="","",'01_Apprenants'!B23)</f>
        <v/>
      </c>
      <c r="C23" s="11">
        <f>IF('01_Apprenants'!C23="","",'01_Apprenants'!C23)</f>
        <v/>
      </c>
      <c r="D23" s="11">
        <f>IF('01_Apprenants'!D23="","",'01_Apprenants'!D23)</f>
        <v/>
      </c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1">
        <f>IF('01_Apprenants'!B23="","",COUNTIF(E23:Z23,"V*"))</f>
        <v/>
      </c>
      <c r="AB23" s="11">
        <f>IF('01_Apprenants'!B23="","",COUNTIF(E23:Z23,"Partielle"))</f>
        <v/>
      </c>
      <c r="AC23" s="11">
        <f>IF('01_Apprenants'!B23="","",COUNTIF(E23:Z23,"Rien"))</f>
        <v/>
      </c>
      <c r="AD23" s="11">
        <f>IF(SUMPRODUCT(((E23:Y23="Partielle")+(E23:Y23="Rien"))*((F23:Z23="Partielle")+(F23:Z23="Rien")))&gt;0,"OUI","")</f>
        <v/>
      </c>
    </row>
    <row r="24">
      <c r="A24" s="13" t="n">
        <v>21</v>
      </c>
      <c r="B24" s="11">
        <f>IF('01_Apprenants'!B24="","",'01_Apprenants'!B24)</f>
        <v/>
      </c>
      <c r="C24" s="11">
        <f>IF('01_Apprenants'!C24="","",'01_Apprenants'!C24)</f>
        <v/>
      </c>
      <c r="D24" s="11">
        <f>IF('01_Apprenants'!D24="","",'01_Apprenants'!D24)</f>
        <v/>
      </c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1">
        <f>IF('01_Apprenants'!B24="","",COUNTIF(E24:Z24,"V*"))</f>
        <v/>
      </c>
      <c r="AB24" s="11">
        <f>IF('01_Apprenants'!B24="","",COUNTIF(E24:Z24,"Partielle"))</f>
        <v/>
      </c>
      <c r="AC24" s="11">
        <f>IF('01_Apprenants'!B24="","",COUNTIF(E24:Z24,"Rien"))</f>
        <v/>
      </c>
      <c r="AD24" s="11">
        <f>IF(SUMPRODUCT(((E24:Y24="Partielle")+(E24:Y24="Rien"))*((F24:Z24="Partielle")+(F24:Z24="Rien")))&gt;0,"OUI","")</f>
        <v/>
      </c>
    </row>
    <row r="25">
      <c r="A25" s="13" t="n">
        <v>22</v>
      </c>
      <c r="B25" s="11">
        <f>IF('01_Apprenants'!B25="","",'01_Apprenants'!B25)</f>
        <v/>
      </c>
      <c r="C25" s="11">
        <f>IF('01_Apprenants'!C25="","",'01_Apprenants'!C25)</f>
        <v/>
      </c>
      <c r="D25" s="11">
        <f>IF('01_Apprenants'!D25="","",'01_Apprenants'!D25)</f>
        <v/>
      </c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1">
        <f>IF('01_Apprenants'!B25="","",COUNTIF(E25:Z25,"V*"))</f>
        <v/>
      </c>
      <c r="AB25" s="11">
        <f>IF('01_Apprenants'!B25="","",COUNTIF(E25:Z25,"Partielle"))</f>
        <v/>
      </c>
      <c r="AC25" s="11">
        <f>IF('01_Apprenants'!B25="","",COUNTIF(E25:Z25,"Rien"))</f>
        <v/>
      </c>
      <c r="AD25" s="11">
        <f>IF(SUMPRODUCT(((E25:Y25="Partielle")+(E25:Y25="Rien"))*((F25:Z25="Partielle")+(F25:Z25="Rien")))&gt;0,"OUI","")</f>
        <v/>
      </c>
    </row>
    <row r="26">
      <c r="A26" s="13" t="n">
        <v>23</v>
      </c>
      <c r="B26" s="11">
        <f>IF('01_Apprenants'!B26="","",'01_Apprenants'!B26)</f>
        <v/>
      </c>
      <c r="C26" s="11">
        <f>IF('01_Apprenants'!C26="","",'01_Apprenants'!C26)</f>
        <v/>
      </c>
      <c r="D26" s="11">
        <f>IF('01_Apprenants'!D26="","",'01_Apprenants'!D26)</f>
        <v/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1">
        <f>IF('01_Apprenants'!B26="","",COUNTIF(E26:Z26,"V*"))</f>
        <v/>
      </c>
      <c r="AB26" s="11">
        <f>IF('01_Apprenants'!B26="","",COUNTIF(E26:Z26,"Partielle"))</f>
        <v/>
      </c>
      <c r="AC26" s="11">
        <f>IF('01_Apprenants'!B26="","",COUNTIF(E26:Z26,"Rien"))</f>
        <v/>
      </c>
      <c r="AD26" s="11">
        <f>IF(SUMPRODUCT(((E26:Y26="Partielle")+(E26:Y26="Rien"))*((F26:Z26="Partielle")+(F26:Z26="Rien")))&gt;0,"OUI","")</f>
        <v/>
      </c>
    </row>
    <row r="27">
      <c r="A27" s="13" t="n">
        <v>24</v>
      </c>
      <c r="B27" s="11">
        <f>IF('01_Apprenants'!B27="","",'01_Apprenants'!B27)</f>
        <v/>
      </c>
      <c r="C27" s="11">
        <f>IF('01_Apprenants'!C27="","",'01_Apprenants'!C27)</f>
        <v/>
      </c>
      <c r="D27" s="11">
        <f>IF('01_Apprenants'!D27="","",'01_Apprenants'!D27)</f>
        <v/>
      </c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1">
        <f>IF('01_Apprenants'!B27="","",COUNTIF(E27:Z27,"V*"))</f>
        <v/>
      </c>
      <c r="AB27" s="11">
        <f>IF('01_Apprenants'!B27="","",COUNTIF(E27:Z27,"Partielle"))</f>
        <v/>
      </c>
      <c r="AC27" s="11">
        <f>IF('01_Apprenants'!B27="","",COUNTIF(E27:Z27,"Rien"))</f>
        <v/>
      </c>
      <c r="AD27" s="11">
        <f>IF(SUMPRODUCT(((E27:Y27="Partielle")+(E27:Y27="Rien"))*((F27:Z27="Partielle")+(F27:Z27="Rien")))&gt;0,"OUI","")</f>
        <v/>
      </c>
    </row>
    <row r="28">
      <c r="A28" s="13" t="n">
        <v>25</v>
      </c>
      <c r="B28" s="11">
        <f>IF('01_Apprenants'!B28="","",'01_Apprenants'!B28)</f>
        <v/>
      </c>
      <c r="C28" s="11">
        <f>IF('01_Apprenants'!C28="","",'01_Apprenants'!C28)</f>
        <v/>
      </c>
      <c r="D28" s="11">
        <f>IF('01_Apprenants'!D28="","",'01_Apprenants'!D28)</f>
        <v/>
      </c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1">
        <f>IF('01_Apprenants'!B28="","",COUNTIF(E28:Z28,"V*"))</f>
        <v/>
      </c>
      <c r="AB28" s="11">
        <f>IF('01_Apprenants'!B28="","",COUNTIF(E28:Z28,"Partielle"))</f>
        <v/>
      </c>
      <c r="AC28" s="11">
        <f>IF('01_Apprenants'!B28="","",COUNTIF(E28:Z28,"Rien"))</f>
        <v/>
      </c>
      <c r="AD28" s="11">
        <f>IF(SUMPRODUCT(((E28:Y28="Partielle")+(E28:Y28="Rien"))*((F28:Z28="Partielle")+(F28:Z28="Rien")))&gt;0,"OUI","")</f>
        <v/>
      </c>
    </row>
    <row r="29">
      <c r="A29" s="13" t="n">
        <v>26</v>
      </c>
      <c r="B29" s="11">
        <f>IF('01_Apprenants'!B29="","",'01_Apprenants'!B29)</f>
        <v/>
      </c>
      <c r="C29" s="11">
        <f>IF('01_Apprenants'!C29="","",'01_Apprenants'!C29)</f>
        <v/>
      </c>
      <c r="D29" s="11">
        <f>IF('01_Apprenants'!D29="","",'01_Apprenants'!D29)</f>
        <v/>
      </c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1">
        <f>IF('01_Apprenants'!B29="","",COUNTIF(E29:Z29,"V*"))</f>
        <v/>
      </c>
      <c r="AB29" s="11">
        <f>IF('01_Apprenants'!B29="","",COUNTIF(E29:Z29,"Partielle"))</f>
        <v/>
      </c>
      <c r="AC29" s="11">
        <f>IF('01_Apprenants'!B29="","",COUNTIF(E29:Z29,"Rien"))</f>
        <v/>
      </c>
      <c r="AD29" s="11">
        <f>IF(SUMPRODUCT(((E29:Y29="Partielle")+(E29:Y29="Rien"))*((F29:Z29="Partielle")+(F29:Z29="Rien")))&gt;0,"OUI","")</f>
        <v/>
      </c>
    </row>
    <row r="30">
      <c r="A30" s="13" t="n">
        <v>27</v>
      </c>
      <c r="B30" s="11">
        <f>IF('01_Apprenants'!B30="","",'01_Apprenants'!B30)</f>
        <v/>
      </c>
      <c r="C30" s="11">
        <f>IF('01_Apprenants'!C30="","",'01_Apprenants'!C30)</f>
        <v/>
      </c>
      <c r="D30" s="11">
        <f>IF('01_Apprenants'!D30="","",'01_Apprenants'!D30)</f>
        <v/>
      </c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1">
        <f>IF('01_Apprenants'!B30="","",COUNTIF(E30:Z30,"V*"))</f>
        <v/>
      </c>
      <c r="AB30" s="11">
        <f>IF('01_Apprenants'!B30="","",COUNTIF(E30:Z30,"Partielle"))</f>
        <v/>
      </c>
      <c r="AC30" s="11">
        <f>IF('01_Apprenants'!B30="","",COUNTIF(E30:Z30,"Rien"))</f>
        <v/>
      </c>
      <c r="AD30" s="11">
        <f>IF(SUMPRODUCT(((E30:Y30="Partielle")+(E30:Y30="Rien"))*((F30:Z30="Partielle")+(F30:Z30="Rien")))&gt;0,"OUI","")</f>
        <v/>
      </c>
    </row>
    <row r="31">
      <c r="A31" s="13" t="n">
        <v>28</v>
      </c>
      <c r="B31" s="11">
        <f>IF('01_Apprenants'!B31="","",'01_Apprenants'!B31)</f>
        <v/>
      </c>
      <c r="C31" s="11">
        <f>IF('01_Apprenants'!C31="","",'01_Apprenants'!C31)</f>
        <v/>
      </c>
      <c r="D31" s="11">
        <f>IF('01_Apprenants'!D31="","",'01_Apprenants'!D31)</f>
        <v/>
      </c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1">
        <f>IF('01_Apprenants'!B31="","",COUNTIF(E31:Z31,"V*"))</f>
        <v/>
      </c>
      <c r="AB31" s="11">
        <f>IF('01_Apprenants'!B31="","",COUNTIF(E31:Z31,"Partielle"))</f>
        <v/>
      </c>
      <c r="AC31" s="11">
        <f>IF('01_Apprenants'!B31="","",COUNTIF(E31:Z31,"Rien"))</f>
        <v/>
      </c>
      <c r="AD31" s="11">
        <f>IF(SUMPRODUCT(((E31:Y31="Partielle")+(E31:Y31="Rien"))*((F31:Z31="Partielle")+(F31:Z31="Rien")))&gt;0,"OUI","")</f>
        <v/>
      </c>
    </row>
    <row r="32">
      <c r="A32" s="13" t="n">
        <v>29</v>
      </c>
      <c r="B32" s="11">
        <f>IF('01_Apprenants'!B32="","",'01_Apprenants'!B32)</f>
        <v/>
      </c>
      <c r="C32" s="11">
        <f>IF('01_Apprenants'!C32="","",'01_Apprenants'!C32)</f>
        <v/>
      </c>
      <c r="D32" s="11">
        <f>IF('01_Apprenants'!D32="","",'01_Apprenants'!D32)</f>
        <v/>
      </c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1">
        <f>IF('01_Apprenants'!B32="","",COUNTIF(E32:Z32,"V*"))</f>
        <v/>
      </c>
      <c r="AB32" s="11">
        <f>IF('01_Apprenants'!B32="","",COUNTIF(E32:Z32,"Partielle"))</f>
        <v/>
      </c>
      <c r="AC32" s="11">
        <f>IF('01_Apprenants'!B32="","",COUNTIF(E32:Z32,"Rien"))</f>
        <v/>
      </c>
      <c r="AD32" s="11">
        <f>IF(SUMPRODUCT(((E32:Y32="Partielle")+(E32:Y32="Rien"))*((F32:Z32="Partielle")+(F32:Z32="Rien")))&gt;0,"OUI","")</f>
        <v/>
      </c>
    </row>
    <row r="33">
      <c r="A33" s="13" t="n">
        <v>30</v>
      </c>
      <c r="B33" s="11">
        <f>IF('01_Apprenants'!B33="","",'01_Apprenants'!B33)</f>
        <v/>
      </c>
      <c r="C33" s="11">
        <f>IF('01_Apprenants'!C33="","",'01_Apprenants'!C33)</f>
        <v/>
      </c>
      <c r="D33" s="11">
        <f>IF('01_Apprenants'!D33="","",'01_Apprenants'!D33)</f>
        <v/>
      </c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1">
        <f>IF('01_Apprenants'!B33="","",COUNTIF(E33:Z33,"V*"))</f>
        <v/>
      </c>
      <c r="AB33" s="11">
        <f>IF('01_Apprenants'!B33="","",COUNTIF(E33:Z33,"Partielle"))</f>
        <v/>
      </c>
      <c r="AC33" s="11">
        <f>IF('01_Apprenants'!B33="","",COUNTIF(E33:Z33,"Rien"))</f>
        <v/>
      </c>
      <c r="AD33" s="11">
        <f>IF(SUMPRODUCT(((E33:Y33="Partielle")+(E33:Y33="Rien"))*((F33:Z33="Partielle")+(F33:Z33="Rien")))&gt;0,"OUI","")</f>
        <v/>
      </c>
    </row>
  </sheetData>
  <mergeCells count="2">
    <mergeCell ref="A2:AD2"/>
    <mergeCell ref="A1:AD1"/>
  </mergeCells>
  <conditionalFormatting sqref="AD4:AD33">
    <cfRule type="cellIs" priority="1" operator="equal" dxfId="3">
      <formula>"OUI"</formula>
    </cfRule>
  </conditionalFormatting>
  <dataValidations count="1">
    <dataValidation sqref="E4:Z33" showDropDown="0" showInputMessage="0" showErrorMessage="0" allowBlank="1" errorTitle="Valeur non prevue" error="Choisissez une valeur dans la liste." type="list">
      <formula1>'13_Listes'!$D$4:$D$8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0" customWidth="1" min="3" max="3"/>
    <col width="15" customWidth="1" min="4" max="4"/>
    <col width="46" customWidth="1" min="5" max="5"/>
    <col width="40" customWidth="1" min="6" max="6"/>
    <col width="15" customWidth="1" min="7" max="7"/>
    <col width="12" customWidth="1" min="8" max="8"/>
    <col width="11" customWidth="1" min="9" max="9"/>
  </cols>
  <sheetData>
    <row r="1" ht="24" customHeight="1">
      <c r="A1" s="1" t="inlineStr">
        <is>
          <t>JOURNAL DES OBSERVATIONS</t>
        </is>
      </c>
    </row>
    <row r="2">
      <c r="A2" s="6" t="inlineStr">
        <is>
          <t>Une ligne par fait marquant. Ecrivez le soir meme : on oublie tres vite. Une observation sans action decidee ne sert a rien.</t>
        </is>
      </c>
    </row>
    <row r="3" ht="30" customHeight="1">
      <c r="A3" s="7" t="inlineStr">
        <is>
          <t>Date</t>
        </is>
      </c>
      <c r="B3" s="7" t="inlineStr">
        <is>
          <t>Seance</t>
        </is>
      </c>
      <c r="C3" s="7" t="inlineStr">
        <is>
          <t>Eleve</t>
        </is>
      </c>
      <c r="D3" s="7" t="inlineStr">
        <is>
          <t>Type</t>
        </is>
      </c>
      <c r="E3" s="7" t="inlineStr">
        <is>
          <t>Ce que j'ai observe</t>
        </is>
      </c>
      <c r="F3" s="7" t="inlineStr">
        <is>
          <t>Action decidee</t>
        </is>
      </c>
      <c r="G3" s="7" t="inlineStr">
        <is>
          <t>Qui s'en occupe</t>
        </is>
      </c>
      <c r="H3" s="7" t="inlineStr">
        <is>
          <t>Pour quand</t>
        </is>
      </c>
      <c r="I3" s="7" t="inlineStr">
        <is>
          <t>Fait ?</t>
        </is>
      </c>
    </row>
    <row r="4">
      <c r="A4" s="20" t="inlineStr">
        <is>
          <t>05/09/2026</t>
        </is>
      </c>
      <c r="B4" s="21" t="inlineStr">
        <is>
          <t>S01</t>
        </is>
      </c>
      <c r="C4" s="21" t="inlineStr">
        <is>
          <t>KOUASSI Awa</t>
        </is>
      </c>
      <c r="D4" s="21" t="inlineStr">
        <is>
          <t>Difficulte</t>
        </is>
      </c>
      <c r="E4" s="21" t="inlineStr">
        <is>
          <t>N'a pas ose lever la carte orange de toute la seance. Bloquee 10 min sur un guillemet.</t>
        </is>
      </c>
      <c r="F4" s="21" t="inlineStr">
        <is>
          <t>Rappeler a toute la classe que la carte sert justement a ne pas avoir a parler. La placer avec un binome patient.</t>
        </is>
      </c>
      <c r="G4" s="21" t="inlineStr">
        <is>
          <t>Mecanicien</t>
        </is>
      </c>
      <c r="H4" s="21" t="inlineStr">
        <is>
          <t>12/09/2026</t>
        </is>
      </c>
      <c r="I4" s="21" t="inlineStr">
        <is>
          <t>A faire</t>
        </is>
      </c>
    </row>
    <row r="5">
      <c r="A5" s="22" t="n"/>
      <c r="B5" s="23" t="n"/>
      <c r="C5" s="23" t="n"/>
      <c r="D5" s="23" t="n"/>
      <c r="E5" s="23" t="n"/>
      <c r="F5" s="23" t="n"/>
      <c r="G5" s="23" t="n"/>
      <c r="H5" s="23" t="n"/>
      <c r="I5" s="23" t="n"/>
    </row>
    <row r="6">
      <c r="A6" s="22" t="n"/>
      <c r="B6" s="23" t="n"/>
      <c r="C6" s="23" t="n"/>
      <c r="D6" s="23" t="n"/>
      <c r="E6" s="23" t="n"/>
      <c r="F6" s="23" t="n"/>
      <c r="G6" s="23" t="n"/>
      <c r="H6" s="23" t="n"/>
      <c r="I6" s="23" t="n"/>
    </row>
    <row r="7">
      <c r="A7" s="22" t="n"/>
      <c r="B7" s="23" t="n"/>
      <c r="C7" s="23" t="n"/>
      <c r="D7" s="23" t="n"/>
      <c r="E7" s="23" t="n"/>
      <c r="F7" s="23" t="n"/>
      <c r="G7" s="23" t="n"/>
      <c r="H7" s="23" t="n"/>
      <c r="I7" s="23" t="n"/>
    </row>
    <row r="8">
      <c r="A8" s="22" t="n"/>
      <c r="B8" s="23" t="n"/>
      <c r="C8" s="23" t="n"/>
      <c r="D8" s="23" t="n"/>
      <c r="E8" s="23" t="n"/>
      <c r="F8" s="23" t="n"/>
      <c r="G8" s="23" t="n"/>
      <c r="H8" s="23" t="n"/>
      <c r="I8" s="23" t="n"/>
    </row>
    <row r="9">
      <c r="A9" s="22" t="n"/>
      <c r="B9" s="23" t="n"/>
      <c r="C9" s="23" t="n"/>
      <c r="D9" s="23" t="n"/>
      <c r="E9" s="23" t="n"/>
      <c r="F9" s="23" t="n"/>
      <c r="G9" s="23" t="n"/>
      <c r="H9" s="23" t="n"/>
      <c r="I9" s="23" t="n"/>
    </row>
    <row r="10">
      <c r="A10" s="22" t="n"/>
      <c r="B10" s="23" t="n"/>
      <c r="C10" s="23" t="n"/>
      <c r="D10" s="23" t="n"/>
      <c r="E10" s="23" t="n"/>
      <c r="F10" s="23" t="n"/>
      <c r="G10" s="23" t="n"/>
      <c r="H10" s="23" t="n"/>
      <c r="I10" s="23" t="n"/>
    </row>
    <row r="11">
      <c r="A11" s="22" t="n"/>
      <c r="B11" s="23" t="n"/>
      <c r="C11" s="23" t="n"/>
      <c r="D11" s="23" t="n"/>
      <c r="E11" s="23" t="n"/>
      <c r="F11" s="23" t="n"/>
      <c r="G11" s="23" t="n"/>
      <c r="H11" s="23" t="n"/>
      <c r="I11" s="23" t="n"/>
    </row>
    <row r="12">
      <c r="A12" s="22" t="n"/>
      <c r="B12" s="23" t="n"/>
      <c r="C12" s="23" t="n"/>
      <c r="D12" s="23" t="n"/>
      <c r="E12" s="23" t="n"/>
      <c r="F12" s="23" t="n"/>
      <c r="G12" s="23" t="n"/>
      <c r="H12" s="23" t="n"/>
      <c r="I12" s="23" t="n"/>
    </row>
    <row r="13">
      <c r="A13" s="22" t="n"/>
      <c r="B13" s="23" t="n"/>
      <c r="C13" s="23" t="n"/>
      <c r="D13" s="23" t="n"/>
      <c r="E13" s="23" t="n"/>
      <c r="F13" s="23" t="n"/>
      <c r="G13" s="23" t="n"/>
      <c r="H13" s="23" t="n"/>
      <c r="I13" s="23" t="n"/>
    </row>
    <row r="14">
      <c r="A14" s="22" t="n"/>
      <c r="B14" s="23" t="n"/>
      <c r="C14" s="23" t="n"/>
      <c r="D14" s="23" t="n"/>
      <c r="E14" s="23" t="n"/>
      <c r="F14" s="23" t="n"/>
      <c r="G14" s="23" t="n"/>
      <c r="H14" s="23" t="n"/>
      <c r="I14" s="23" t="n"/>
    </row>
    <row r="15">
      <c r="A15" s="22" t="n"/>
      <c r="B15" s="23" t="n"/>
      <c r="C15" s="23" t="n"/>
      <c r="D15" s="23" t="n"/>
      <c r="E15" s="23" t="n"/>
      <c r="F15" s="23" t="n"/>
      <c r="G15" s="23" t="n"/>
      <c r="H15" s="23" t="n"/>
      <c r="I15" s="23" t="n"/>
    </row>
    <row r="16">
      <c r="A16" s="22" t="n"/>
      <c r="B16" s="23" t="n"/>
      <c r="C16" s="23" t="n"/>
      <c r="D16" s="23" t="n"/>
      <c r="E16" s="23" t="n"/>
      <c r="F16" s="23" t="n"/>
      <c r="G16" s="23" t="n"/>
      <c r="H16" s="23" t="n"/>
      <c r="I16" s="23" t="n"/>
    </row>
    <row r="17">
      <c r="A17" s="22" t="n"/>
      <c r="B17" s="23" t="n"/>
      <c r="C17" s="23" t="n"/>
      <c r="D17" s="23" t="n"/>
      <c r="E17" s="23" t="n"/>
      <c r="F17" s="23" t="n"/>
      <c r="G17" s="23" t="n"/>
      <c r="H17" s="23" t="n"/>
      <c r="I17" s="23" t="n"/>
    </row>
    <row r="18">
      <c r="A18" s="22" t="n"/>
      <c r="B18" s="23" t="n"/>
      <c r="C18" s="23" t="n"/>
      <c r="D18" s="23" t="n"/>
      <c r="E18" s="23" t="n"/>
      <c r="F18" s="23" t="n"/>
      <c r="G18" s="23" t="n"/>
      <c r="H18" s="23" t="n"/>
      <c r="I18" s="23" t="n"/>
    </row>
    <row r="19">
      <c r="A19" s="22" t="n"/>
      <c r="B19" s="23" t="n"/>
      <c r="C19" s="23" t="n"/>
      <c r="D19" s="23" t="n"/>
      <c r="E19" s="23" t="n"/>
      <c r="F19" s="23" t="n"/>
      <c r="G19" s="23" t="n"/>
      <c r="H19" s="23" t="n"/>
      <c r="I19" s="23" t="n"/>
    </row>
    <row r="20">
      <c r="A20" s="22" t="n"/>
      <c r="B20" s="23" t="n"/>
      <c r="C20" s="23" t="n"/>
      <c r="D20" s="23" t="n"/>
      <c r="E20" s="23" t="n"/>
      <c r="F20" s="23" t="n"/>
      <c r="G20" s="23" t="n"/>
      <c r="H20" s="23" t="n"/>
      <c r="I20" s="23" t="n"/>
    </row>
    <row r="21">
      <c r="A21" s="22" t="n"/>
      <c r="B21" s="23" t="n"/>
      <c r="C21" s="23" t="n"/>
      <c r="D21" s="23" t="n"/>
      <c r="E21" s="23" t="n"/>
      <c r="F21" s="23" t="n"/>
      <c r="G21" s="23" t="n"/>
      <c r="H21" s="23" t="n"/>
      <c r="I21" s="23" t="n"/>
    </row>
    <row r="22">
      <c r="A22" s="22" t="n"/>
      <c r="B22" s="23" t="n"/>
      <c r="C22" s="23" t="n"/>
      <c r="D22" s="23" t="n"/>
      <c r="E22" s="23" t="n"/>
      <c r="F22" s="23" t="n"/>
      <c r="G22" s="23" t="n"/>
      <c r="H22" s="23" t="n"/>
      <c r="I22" s="23" t="n"/>
    </row>
    <row r="23">
      <c r="A23" s="22" t="n"/>
      <c r="B23" s="23" t="n"/>
      <c r="C23" s="23" t="n"/>
      <c r="D23" s="23" t="n"/>
      <c r="E23" s="23" t="n"/>
      <c r="F23" s="23" t="n"/>
      <c r="G23" s="23" t="n"/>
      <c r="H23" s="23" t="n"/>
      <c r="I23" s="23" t="n"/>
    </row>
    <row r="24">
      <c r="A24" s="22" t="n"/>
      <c r="B24" s="23" t="n"/>
      <c r="C24" s="23" t="n"/>
      <c r="D24" s="23" t="n"/>
      <c r="E24" s="23" t="n"/>
      <c r="F24" s="23" t="n"/>
      <c r="G24" s="23" t="n"/>
      <c r="H24" s="23" t="n"/>
      <c r="I24" s="23" t="n"/>
    </row>
    <row r="25">
      <c r="A25" s="22" t="n"/>
      <c r="B25" s="23" t="n"/>
      <c r="C25" s="23" t="n"/>
      <c r="D25" s="23" t="n"/>
      <c r="E25" s="23" t="n"/>
      <c r="F25" s="23" t="n"/>
      <c r="G25" s="23" t="n"/>
      <c r="H25" s="23" t="n"/>
      <c r="I25" s="23" t="n"/>
    </row>
    <row r="26">
      <c r="A26" s="22" t="n"/>
      <c r="B26" s="23" t="n"/>
      <c r="C26" s="23" t="n"/>
      <c r="D26" s="23" t="n"/>
      <c r="E26" s="23" t="n"/>
      <c r="F26" s="23" t="n"/>
      <c r="G26" s="23" t="n"/>
      <c r="H26" s="23" t="n"/>
      <c r="I26" s="23" t="n"/>
    </row>
    <row r="27">
      <c r="A27" s="22" t="n"/>
      <c r="B27" s="23" t="n"/>
      <c r="C27" s="23" t="n"/>
      <c r="D27" s="23" t="n"/>
      <c r="E27" s="23" t="n"/>
      <c r="F27" s="23" t="n"/>
      <c r="G27" s="23" t="n"/>
      <c r="H27" s="23" t="n"/>
      <c r="I27" s="23" t="n"/>
    </row>
    <row r="28">
      <c r="A28" s="22" t="n"/>
      <c r="B28" s="23" t="n"/>
      <c r="C28" s="23" t="n"/>
      <c r="D28" s="23" t="n"/>
      <c r="E28" s="23" t="n"/>
      <c r="F28" s="23" t="n"/>
      <c r="G28" s="23" t="n"/>
      <c r="H28" s="23" t="n"/>
      <c r="I28" s="23" t="n"/>
    </row>
    <row r="29">
      <c r="A29" s="22" t="n"/>
      <c r="B29" s="23" t="n"/>
      <c r="C29" s="23" t="n"/>
      <c r="D29" s="23" t="n"/>
      <c r="E29" s="23" t="n"/>
      <c r="F29" s="23" t="n"/>
      <c r="G29" s="23" t="n"/>
      <c r="H29" s="23" t="n"/>
      <c r="I29" s="23" t="n"/>
    </row>
    <row r="30">
      <c r="A30" s="22" t="n"/>
      <c r="B30" s="23" t="n"/>
      <c r="C30" s="23" t="n"/>
      <c r="D30" s="23" t="n"/>
      <c r="E30" s="23" t="n"/>
      <c r="F30" s="23" t="n"/>
      <c r="G30" s="23" t="n"/>
      <c r="H30" s="23" t="n"/>
      <c r="I30" s="23" t="n"/>
    </row>
    <row r="31">
      <c r="A31" s="22" t="n"/>
      <c r="B31" s="23" t="n"/>
      <c r="C31" s="23" t="n"/>
      <c r="D31" s="23" t="n"/>
      <c r="E31" s="23" t="n"/>
      <c r="F31" s="23" t="n"/>
      <c r="G31" s="23" t="n"/>
      <c r="H31" s="23" t="n"/>
      <c r="I31" s="23" t="n"/>
    </row>
    <row r="32">
      <c r="A32" s="22" t="n"/>
      <c r="B32" s="23" t="n"/>
      <c r="C32" s="23" t="n"/>
      <c r="D32" s="23" t="n"/>
      <c r="E32" s="23" t="n"/>
      <c r="F32" s="23" t="n"/>
      <c r="G32" s="23" t="n"/>
      <c r="H32" s="23" t="n"/>
      <c r="I32" s="23" t="n"/>
    </row>
    <row r="33">
      <c r="A33" s="22" t="n"/>
      <c r="B33" s="23" t="n"/>
      <c r="C33" s="23" t="n"/>
      <c r="D33" s="23" t="n"/>
      <c r="E33" s="23" t="n"/>
      <c r="F33" s="23" t="n"/>
      <c r="G33" s="23" t="n"/>
      <c r="H33" s="23" t="n"/>
      <c r="I33" s="23" t="n"/>
    </row>
    <row r="34">
      <c r="A34" s="22" t="n"/>
      <c r="B34" s="23" t="n"/>
      <c r="C34" s="23" t="n"/>
      <c r="D34" s="23" t="n"/>
      <c r="E34" s="23" t="n"/>
      <c r="F34" s="23" t="n"/>
      <c r="G34" s="23" t="n"/>
      <c r="H34" s="23" t="n"/>
      <c r="I34" s="23" t="n"/>
    </row>
    <row r="35">
      <c r="A35" s="22" t="n"/>
      <c r="B35" s="23" t="n"/>
      <c r="C35" s="23" t="n"/>
      <c r="D35" s="23" t="n"/>
      <c r="E35" s="23" t="n"/>
      <c r="F35" s="23" t="n"/>
      <c r="G35" s="23" t="n"/>
      <c r="H35" s="23" t="n"/>
      <c r="I35" s="23" t="n"/>
    </row>
    <row r="36">
      <c r="A36" s="22" t="n"/>
      <c r="B36" s="23" t="n"/>
      <c r="C36" s="23" t="n"/>
      <c r="D36" s="23" t="n"/>
      <c r="E36" s="23" t="n"/>
      <c r="F36" s="23" t="n"/>
      <c r="G36" s="23" t="n"/>
      <c r="H36" s="23" t="n"/>
      <c r="I36" s="23" t="n"/>
    </row>
    <row r="37">
      <c r="A37" s="22" t="n"/>
      <c r="B37" s="23" t="n"/>
      <c r="C37" s="23" t="n"/>
      <c r="D37" s="23" t="n"/>
      <c r="E37" s="23" t="n"/>
      <c r="F37" s="23" t="n"/>
      <c r="G37" s="23" t="n"/>
      <c r="H37" s="23" t="n"/>
      <c r="I37" s="23" t="n"/>
    </row>
    <row r="38">
      <c r="A38" s="22" t="n"/>
      <c r="B38" s="23" t="n"/>
      <c r="C38" s="23" t="n"/>
      <c r="D38" s="23" t="n"/>
      <c r="E38" s="23" t="n"/>
      <c r="F38" s="23" t="n"/>
      <c r="G38" s="23" t="n"/>
      <c r="H38" s="23" t="n"/>
      <c r="I38" s="23" t="n"/>
    </row>
    <row r="39">
      <c r="A39" s="22" t="n"/>
      <c r="B39" s="23" t="n"/>
      <c r="C39" s="23" t="n"/>
      <c r="D39" s="23" t="n"/>
      <c r="E39" s="23" t="n"/>
      <c r="F39" s="23" t="n"/>
      <c r="G39" s="23" t="n"/>
      <c r="H39" s="23" t="n"/>
      <c r="I39" s="23" t="n"/>
    </row>
    <row r="40">
      <c r="A40" s="22" t="n"/>
      <c r="B40" s="23" t="n"/>
      <c r="C40" s="23" t="n"/>
      <c r="D40" s="23" t="n"/>
      <c r="E40" s="23" t="n"/>
      <c r="F40" s="23" t="n"/>
      <c r="G40" s="23" t="n"/>
      <c r="H40" s="23" t="n"/>
      <c r="I40" s="23" t="n"/>
    </row>
    <row r="41">
      <c r="A41" s="22" t="n"/>
      <c r="B41" s="23" t="n"/>
      <c r="C41" s="23" t="n"/>
      <c r="D41" s="23" t="n"/>
      <c r="E41" s="23" t="n"/>
      <c r="F41" s="23" t="n"/>
      <c r="G41" s="23" t="n"/>
      <c r="H41" s="23" t="n"/>
      <c r="I41" s="23" t="n"/>
    </row>
    <row r="42">
      <c r="A42" s="22" t="n"/>
      <c r="B42" s="23" t="n"/>
      <c r="C42" s="23" t="n"/>
      <c r="D42" s="23" t="n"/>
      <c r="E42" s="23" t="n"/>
      <c r="F42" s="23" t="n"/>
      <c r="G42" s="23" t="n"/>
      <c r="H42" s="23" t="n"/>
      <c r="I42" s="23" t="n"/>
    </row>
    <row r="43">
      <c r="A43" s="22" t="n"/>
      <c r="B43" s="23" t="n"/>
      <c r="C43" s="23" t="n"/>
      <c r="D43" s="23" t="n"/>
      <c r="E43" s="23" t="n"/>
      <c r="F43" s="23" t="n"/>
      <c r="G43" s="23" t="n"/>
      <c r="H43" s="23" t="n"/>
      <c r="I43" s="23" t="n"/>
    </row>
    <row r="44">
      <c r="A44" s="22" t="n"/>
      <c r="B44" s="23" t="n"/>
      <c r="C44" s="23" t="n"/>
      <c r="D44" s="23" t="n"/>
      <c r="E44" s="23" t="n"/>
      <c r="F44" s="23" t="n"/>
      <c r="G44" s="23" t="n"/>
      <c r="H44" s="23" t="n"/>
      <c r="I44" s="23" t="n"/>
    </row>
    <row r="45">
      <c r="A45" s="22" t="n"/>
      <c r="B45" s="23" t="n"/>
      <c r="C45" s="23" t="n"/>
      <c r="D45" s="23" t="n"/>
      <c r="E45" s="23" t="n"/>
      <c r="F45" s="23" t="n"/>
      <c r="G45" s="23" t="n"/>
      <c r="H45" s="23" t="n"/>
      <c r="I45" s="23" t="n"/>
    </row>
    <row r="46">
      <c r="A46" s="22" t="n"/>
      <c r="B46" s="23" t="n"/>
      <c r="C46" s="23" t="n"/>
      <c r="D46" s="23" t="n"/>
      <c r="E46" s="23" t="n"/>
      <c r="F46" s="23" t="n"/>
      <c r="G46" s="23" t="n"/>
      <c r="H46" s="23" t="n"/>
      <c r="I46" s="23" t="n"/>
    </row>
    <row r="47">
      <c r="A47" s="22" t="n"/>
      <c r="B47" s="23" t="n"/>
      <c r="C47" s="23" t="n"/>
      <c r="D47" s="23" t="n"/>
      <c r="E47" s="23" t="n"/>
      <c r="F47" s="23" t="n"/>
      <c r="G47" s="23" t="n"/>
      <c r="H47" s="23" t="n"/>
      <c r="I47" s="23" t="n"/>
    </row>
    <row r="48">
      <c r="A48" s="22" t="n"/>
      <c r="B48" s="23" t="n"/>
      <c r="C48" s="23" t="n"/>
      <c r="D48" s="23" t="n"/>
      <c r="E48" s="23" t="n"/>
      <c r="F48" s="23" t="n"/>
      <c r="G48" s="23" t="n"/>
      <c r="H48" s="23" t="n"/>
      <c r="I48" s="23" t="n"/>
    </row>
    <row r="49">
      <c r="A49" s="22" t="n"/>
      <c r="B49" s="23" t="n"/>
      <c r="C49" s="23" t="n"/>
      <c r="D49" s="23" t="n"/>
      <c r="E49" s="23" t="n"/>
      <c r="F49" s="23" t="n"/>
      <c r="G49" s="23" t="n"/>
      <c r="H49" s="23" t="n"/>
      <c r="I49" s="23" t="n"/>
    </row>
    <row r="50">
      <c r="A50" s="22" t="n"/>
      <c r="B50" s="23" t="n"/>
      <c r="C50" s="23" t="n"/>
      <c r="D50" s="23" t="n"/>
      <c r="E50" s="23" t="n"/>
      <c r="F50" s="23" t="n"/>
      <c r="G50" s="23" t="n"/>
      <c r="H50" s="23" t="n"/>
      <c r="I50" s="23" t="n"/>
    </row>
    <row r="51">
      <c r="A51" s="22" t="n"/>
      <c r="B51" s="23" t="n"/>
      <c r="C51" s="23" t="n"/>
      <c r="D51" s="23" t="n"/>
      <c r="E51" s="23" t="n"/>
      <c r="F51" s="23" t="n"/>
      <c r="G51" s="23" t="n"/>
      <c r="H51" s="23" t="n"/>
      <c r="I51" s="23" t="n"/>
    </row>
    <row r="52">
      <c r="A52" s="22" t="n"/>
      <c r="B52" s="23" t="n"/>
      <c r="C52" s="23" t="n"/>
      <c r="D52" s="23" t="n"/>
      <c r="E52" s="23" t="n"/>
      <c r="F52" s="23" t="n"/>
      <c r="G52" s="23" t="n"/>
      <c r="H52" s="23" t="n"/>
      <c r="I52" s="23" t="n"/>
    </row>
    <row r="53">
      <c r="A53" s="22" t="n"/>
      <c r="B53" s="23" t="n"/>
      <c r="C53" s="23" t="n"/>
      <c r="D53" s="23" t="n"/>
      <c r="E53" s="23" t="n"/>
      <c r="F53" s="23" t="n"/>
      <c r="G53" s="23" t="n"/>
      <c r="H53" s="23" t="n"/>
      <c r="I53" s="23" t="n"/>
    </row>
    <row r="54">
      <c r="A54" s="22" t="n"/>
      <c r="B54" s="23" t="n"/>
      <c r="C54" s="23" t="n"/>
      <c r="D54" s="23" t="n"/>
      <c r="E54" s="23" t="n"/>
      <c r="F54" s="23" t="n"/>
      <c r="G54" s="23" t="n"/>
      <c r="H54" s="23" t="n"/>
      <c r="I54" s="23" t="n"/>
    </row>
    <row r="55">
      <c r="A55" s="22" t="n"/>
      <c r="B55" s="23" t="n"/>
      <c r="C55" s="23" t="n"/>
      <c r="D55" s="23" t="n"/>
      <c r="E55" s="23" t="n"/>
      <c r="F55" s="23" t="n"/>
      <c r="G55" s="23" t="n"/>
      <c r="H55" s="23" t="n"/>
      <c r="I55" s="23" t="n"/>
    </row>
    <row r="56">
      <c r="A56" s="22" t="n"/>
      <c r="B56" s="23" t="n"/>
      <c r="C56" s="23" t="n"/>
      <c r="D56" s="23" t="n"/>
      <c r="E56" s="23" t="n"/>
      <c r="F56" s="23" t="n"/>
      <c r="G56" s="23" t="n"/>
      <c r="H56" s="23" t="n"/>
      <c r="I56" s="23" t="n"/>
    </row>
    <row r="57">
      <c r="A57" s="22" t="n"/>
      <c r="B57" s="23" t="n"/>
      <c r="C57" s="23" t="n"/>
      <c r="D57" s="23" t="n"/>
      <c r="E57" s="23" t="n"/>
      <c r="F57" s="23" t="n"/>
      <c r="G57" s="23" t="n"/>
      <c r="H57" s="23" t="n"/>
      <c r="I57" s="23" t="n"/>
    </row>
    <row r="58">
      <c r="A58" s="22" t="n"/>
      <c r="B58" s="23" t="n"/>
      <c r="C58" s="23" t="n"/>
      <c r="D58" s="23" t="n"/>
      <c r="E58" s="23" t="n"/>
      <c r="F58" s="23" t="n"/>
      <c r="G58" s="23" t="n"/>
      <c r="H58" s="23" t="n"/>
      <c r="I58" s="23" t="n"/>
    </row>
    <row r="59">
      <c r="A59" s="22" t="n"/>
      <c r="B59" s="23" t="n"/>
      <c r="C59" s="23" t="n"/>
      <c r="D59" s="23" t="n"/>
      <c r="E59" s="23" t="n"/>
      <c r="F59" s="23" t="n"/>
      <c r="G59" s="23" t="n"/>
      <c r="H59" s="23" t="n"/>
      <c r="I59" s="23" t="n"/>
    </row>
    <row r="60">
      <c r="A60" s="22" t="n"/>
      <c r="B60" s="23" t="n"/>
      <c r="C60" s="23" t="n"/>
      <c r="D60" s="23" t="n"/>
      <c r="E60" s="23" t="n"/>
      <c r="F60" s="23" t="n"/>
      <c r="G60" s="23" t="n"/>
      <c r="H60" s="23" t="n"/>
      <c r="I60" s="23" t="n"/>
    </row>
    <row r="61">
      <c r="A61" s="22" t="n"/>
      <c r="B61" s="23" t="n"/>
      <c r="C61" s="23" t="n"/>
      <c r="D61" s="23" t="n"/>
      <c r="E61" s="23" t="n"/>
      <c r="F61" s="23" t="n"/>
      <c r="G61" s="23" t="n"/>
      <c r="H61" s="23" t="n"/>
      <c r="I61" s="23" t="n"/>
    </row>
    <row r="62">
      <c r="A62" s="22" t="n"/>
      <c r="B62" s="23" t="n"/>
      <c r="C62" s="23" t="n"/>
      <c r="D62" s="23" t="n"/>
      <c r="E62" s="23" t="n"/>
      <c r="F62" s="23" t="n"/>
      <c r="G62" s="23" t="n"/>
      <c r="H62" s="23" t="n"/>
      <c r="I62" s="23" t="n"/>
    </row>
    <row r="63">
      <c r="A63" s="22" t="n"/>
      <c r="B63" s="23" t="n"/>
      <c r="C63" s="23" t="n"/>
      <c r="D63" s="23" t="n"/>
      <c r="E63" s="23" t="n"/>
      <c r="F63" s="23" t="n"/>
      <c r="G63" s="23" t="n"/>
      <c r="H63" s="23" t="n"/>
      <c r="I63" s="23" t="n"/>
    </row>
    <row r="64">
      <c r="A64" s="22" t="n"/>
      <c r="B64" s="23" t="n"/>
      <c r="C64" s="23" t="n"/>
      <c r="D64" s="23" t="n"/>
      <c r="E64" s="23" t="n"/>
      <c r="F64" s="23" t="n"/>
      <c r="G64" s="23" t="n"/>
      <c r="H64" s="23" t="n"/>
      <c r="I64" s="23" t="n"/>
    </row>
    <row r="65">
      <c r="A65" s="22" t="n"/>
      <c r="B65" s="23" t="n"/>
      <c r="C65" s="23" t="n"/>
      <c r="D65" s="23" t="n"/>
      <c r="E65" s="23" t="n"/>
      <c r="F65" s="23" t="n"/>
      <c r="G65" s="23" t="n"/>
      <c r="H65" s="23" t="n"/>
      <c r="I65" s="23" t="n"/>
    </row>
    <row r="66">
      <c r="A66" s="22" t="n"/>
      <c r="B66" s="23" t="n"/>
      <c r="C66" s="23" t="n"/>
      <c r="D66" s="23" t="n"/>
      <c r="E66" s="23" t="n"/>
      <c r="F66" s="23" t="n"/>
      <c r="G66" s="23" t="n"/>
      <c r="H66" s="23" t="n"/>
      <c r="I66" s="23" t="n"/>
    </row>
    <row r="67">
      <c r="A67" s="22" t="n"/>
      <c r="B67" s="23" t="n"/>
      <c r="C67" s="23" t="n"/>
      <c r="D67" s="23" t="n"/>
      <c r="E67" s="23" t="n"/>
      <c r="F67" s="23" t="n"/>
      <c r="G67" s="23" t="n"/>
      <c r="H67" s="23" t="n"/>
      <c r="I67" s="23" t="n"/>
    </row>
    <row r="68">
      <c r="A68" s="22" t="n"/>
      <c r="B68" s="23" t="n"/>
      <c r="C68" s="23" t="n"/>
      <c r="D68" s="23" t="n"/>
      <c r="E68" s="23" t="n"/>
      <c r="F68" s="23" t="n"/>
      <c r="G68" s="23" t="n"/>
      <c r="H68" s="23" t="n"/>
      <c r="I68" s="23" t="n"/>
    </row>
    <row r="69">
      <c r="A69" s="22" t="n"/>
      <c r="B69" s="23" t="n"/>
      <c r="C69" s="23" t="n"/>
      <c r="D69" s="23" t="n"/>
      <c r="E69" s="23" t="n"/>
      <c r="F69" s="23" t="n"/>
      <c r="G69" s="23" t="n"/>
      <c r="H69" s="23" t="n"/>
      <c r="I69" s="23" t="n"/>
    </row>
    <row r="70">
      <c r="A70" s="22" t="n"/>
      <c r="B70" s="23" t="n"/>
      <c r="C70" s="23" t="n"/>
      <c r="D70" s="23" t="n"/>
      <c r="E70" s="23" t="n"/>
      <c r="F70" s="23" t="n"/>
      <c r="G70" s="23" t="n"/>
      <c r="H70" s="23" t="n"/>
      <c r="I70" s="23" t="n"/>
    </row>
    <row r="71">
      <c r="A71" s="22" t="n"/>
      <c r="B71" s="23" t="n"/>
      <c r="C71" s="23" t="n"/>
      <c r="D71" s="23" t="n"/>
      <c r="E71" s="23" t="n"/>
      <c r="F71" s="23" t="n"/>
      <c r="G71" s="23" t="n"/>
      <c r="H71" s="23" t="n"/>
      <c r="I71" s="23" t="n"/>
    </row>
    <row r="72">
      <c r="A72" s="22" t="n"/>
      <c r="B72" s="23" t="n"/>
      <c r="C72" s="23" t="n"/>
      <c r="D72" s="23" t="n"/>
      <c r="E72" s="23" t="n"/>
      <c r="F72" s="23" t="n"/>
      <c r="G72" s="23" t="n"/>
      <c r="H72" s="23" t="n"/>
      <c r="I72" s="23" t="n"/>
    </row>
    <row r="73">
      <c r="A73" s="22" t="n"/>
      <c r="B73" s="23" t="n"/>
      <c r="C73" s="23" t="n"/>
      <c r="D73" s="23" t="n"/>
      <c r="E73" s="23" t="n"/>
      <c r="F73" s="23" t="n"/>
      <c r="G73" s="23" t="n"/>
      <c r="H73" s="23" t="n"/>
      <c r="I73" s="23" t="n"/>
    </row>
    <row r="74">
      <c r="A74" s="22" t="n"/>
      <c r="B74" s="23" t="n"/>
      <c r="C74" s="23" t="n"/>
      <c r="D74" s="23" t="n"/>
      <c r="E74" s="23" t="n"/>
      <c r="F74" s="23" t="n"/>
      <c r="G74" s="23" t="n"/>
      <c r="H74" s="23" t="n"/>
      <c r="I74" s="23" t="n"/>
    </row>
    <row r="75">
      <c r="A75" s="22" t="n"/>
      <c r="B75" s="23" t="n"/>
      <c r="C75" s="23" t="n"/>
      <c r="D75" s="23" t="n"/>
      <c r="E75" s="23" t="n"/>
      <c r="F75" s="23" t="n"/>
      <c r="G75" s="23" t="n"/>
      <c r="H75" s="23" t="n"/>
      <c r="I75" s="23" t="n"/>
    </row>
    <row r="76">
      <c r="A76" s="22" t="n"/>
      <c r="B76" s="23" t="n"/>
      <c r="C76" s="23" t="n"/>
      <c r="D76" s="23" t="n"/>
      <c r="E76" s="23" t="n"/>
      <c r="F76" s="23" t="n"/>
      <c r="G76" s="23" t="n"/>
      <c r="H76" s="23" t="n"/>
      <c r="I76" s="23" t="n"/>
    </row>
    <row r="77">
      <c r="A77" s="22" t="n"/>
      <c r="B77" s="23" t="n"/>
      <c r="C77" s="23" t="n"/>
      <c r="D77" s="23" t="n"/>
      <c r="E77" s="23" t="n"/>
      <c r="F77" s="23" t="n"/>
      <c r="G77" s="23" t="n"/>
      <c r="H77" s="23" t="n"/>
      <c r="I77" s="23" t="n"/>
    </row>
    <row r="78">
      <c r="A78" s="22" t="n"/>
      <c r="B78" s="23" t="n"/>
      <c r="C78" s="23" t="n"/>
      <c r="D78" s="23" t="n"/>
      <c r="E78" s="23" t="n"/>
      <c r="F78" s="23" t="n"/>
      <c r="G78" s="23" t="n"/>
      <c r="H78" s="23" t="n"/>
      <c r="I78" s="23" t="n"/>
    </row>
    <row r="79">
      <c r="A79" s="22" t="n"/>
      <c r="B79" s="23" t="n"/>
      <c r="C79" s="23" t="n"/>
      <c r="D79" s="23" t="n"/>
      <c r="E79" s="23" t="n"/>
      <c r="F79" s="23" t="n"/>
      <c r="G79" s="23" t="n"/>
      <c r="H79" s="23" t="n"/>
      <c r="I79" s="23" t="n"/>
    </row>
    <row r="80">
      <c r="A80" s="22" t="n"/>
      <c r="B80" s="23" t="n"/>
      <c r="C80" s="23" t="n"/>
      <c r="D80" s="23" t="n"/>
      <c r="E80" s="23" t="n"/>
      <c r="F80" s="23" t="n"/>
      <c r="G80" s="23" t="n"/>
      <c r="H80" s="23" t="n"/>
      <c r="I80" s="23" t="n"/>
    </row>
    <row r="81">
      <c r="A81" s="22" t="n"/>
      <c r="B81" s="23" t="n"/>
      <c r="C81" s="23" t="n"/>
      <c r="D81" s="23" t="n"/>
      <c r="E81" s="23" t="n"/>
      <c r="F81" s="23" t="n"/>
      <c r="G81" s="23" t="n"/>
      <c r="H81" s="23" t="n"/>
      <c r="I81" s="23" t="n"/>
    </row>
    <row r="82">
      <c r="A82" s="22" t="n"/>
      <c r="B82" s="23" t="n"/>
      <c r="C82" s="23" t="n"/>
      <c r="D82" s="23" t="n"/>
      <c r="E82" s="23" t="n"/>
      <c r="F82" s="23" t="n"/>
      <c r="G82" s="23" t="n"/>
      <c r="H82" s="23" t="n"/>
      <c r="I82" s="23" t="n"/>
    </row>
    <row r="83">
      <c r="A83" s="22" t="n"/>
      <c r="B83" s="23" t="n"/>
      <c r="C83" s="23" t="n"/>
      <c r="D83" s="23" t="n"/>
      <c r="E83" s="23" t="n"/>
      <c r="F83" s="23" t="n"/>
      <c r="G83" s="23" t="n"/>
      <c r="H83" s="23" t="n"/>
      <c r="I83" s="23" t="n"/>
    </row>
    <row r="84">
      <c r="A84" s="22" t="n"/>
      <c r="B84" s="23" t="n"/>
      <c r="C84" s="23" t="n"/>
      <c r="D84" s="23" t="n"/>
      <c r="E84" s="23" t="n"/>
      <c r="F84" s="23" t="n"/>
      <c r="G84" s="23" t="n"/>
      <c r="H84" s="23" t="n"/>
      <c r="I84" s="23" t="n"/>
    </row>
    <row r="85">
      <c r="A85" s="22" t="n"/>
      <c r="B85" s="23" t="n"/>
      <c r="C85" s="23" t="n"/>
      <c r="D85" s="23" t="n"/>
      <c r="E85" s="23" t="n"/>
      <c r="F85" s="23" t="n"/>
      <c r="G85" s="23" t="n"/>
      <c r="H85" s="23" t="n"/>
      <c r="I85" s="23" t="n"/>
    </row>
    <row r="86">
      <c r="A86" s="22" t="n"/>
      <c r="B86" s="23" t="n"/>
      <c r="C86" s="23" t="n"/>
      <c r="D86" s="23" t="n"/>
      <c r="E86" s="23" t="n"/>
      <c r="F86" s="23" t="n"/>
      <c r="G86" s="23" t="n"/>
      <c r="H86" s="23" t="n"/>
      <c r="I86" s="23" t="n"/>
    </row>
    <row r="87">
      <c r="A87" s="22" t="n"/>
      <c r="B87" s="23" t="n"/>
      <c r="C87" s="23" t="n"/>
      <c r="D87" s="23" t="n"/>
      <c r="E87" s="23" t="n"/>
      <c r="F87" s="23" t="n"/>
      <c r="G87" s="23" t="n"/>
      <c r="H87" s="23" t="n"/>
      <c r="I87" s="23" t="n"/>
    </row>
    <row r="88">
      <c r="A88" s="22" t="n"/>
      <c r="B88" s="23" t="n"/>
      <c r="C88" s="23" t="n"/>
      <c r="D88" s="23" t="n"/>
      <c r="E88" s="23" t="n"/>
      <c r="F88" s="23" t="n"/>
      <c r="G88" s="23" t="n"/>
      <c r="H88" s="23" t="n"/>
      <c r="I88" s="23" t="n"/>
    </row>
    <row r="89">
      <c r="A89" s="22" t="n"/>
      <c r="B89" s="23" t="n"/>
      <c r="C89" s="23" t="n"/>
      <c r="D89" s="23" t="n"/>
      <c r="E89" s="23" t="n"/>
      <c r="F89" s="23" t="n"/>
      <c r="G89" s="23" t="n"/>
      <c r="H89" s="23" t="n"/>
      <c r="I89" s="23" t="n"/>
    </row>
    <row r="90">
      <c r="A90" s="22" t="n"/>
      <c r="B90" s="23" t="n"/>
      <c r="C90" s="23" t="n"/>
      <c r="D90" s="23" t="n"/>
      <c r="E90" s="23" t="n"/>
      <c r="F90" s="23" t="n"/>
      <c r="G90" s="23" t="n"/>
      <c r="H90" s="23" t="n"/>
      <c r="I90" s="23" t="n"/>
    </row>
    <row r="91">
      <c r="A91" s="22" t="n"/>
      <c r="B91" s="23" t="n"/>
      <c r="C91" s="23" t="n"/>
      <c r="D91" s="23" t="n"/>
      <c r="E91" s="23" t="n"/>
      <c r="F91" s="23" t="n"/>
      <c r="G91" s="23" t="n"/>
      <c r="H91" s="23" t="n"/>
      <c r="I91" s="23" t="n"/>
    </row>
    <row r="92">
      <c r="A92" s="22" t="n"/>
      <c r="B92" s="23" t="n"/>
      <c r="C92" s="23" t="n"/>
      <c r="D92" s="23" t="n"/>
      <c r="E92" s="23" t="n"/>
      <c r="F92" s="23" t="n"/>
      <c r="G92" s="23" t="n"/>
      <c r="H92" s="23" t="n"/>
      <c r="I92" s="23" t="n"/>
    </row>
    <row r="93">
      <c r="A93" s="22" t="n"/>
      <c r="B93" s="23" t="n"/>
      <c r="C93" s="23" t="n"/>
      <c r="D93" s="23" t="n"/>
      <c r="E93" s="23" t="n"/>
      <c r="F93" s="23" t="n"/>
      <c r="G93" s="23" t="n"/>
      <c r="H93" s="23" t="n"/>
      <c r="I93" s="23" t="n"/>
    </row>
    <row r="94">
      <c r="A94" s="22" t="n"/>
      <c r="B94" s="23" t="n"/>
      <c r="C94" s="23" t="n"/>
      <c r="D94" s="23" t="n"/>
      <c r="E94" s="23" t="n"/>
      <c r="F94" s="23" t="n"/>
      <c r="G94" s="23" t="n"/>
      <c r="H94" s="23" t="n"/>
      <c r="I94" s="23" t="n"/>
    </row>
    <row r="95">
      <c r="A95" s="22" t="n"/>
      <c r="B95" s="23" t="n"/>
      <c r="C95" s="23" t="n"/>
      <c r="D95" s="23" t="n"/>
      <c r="E95" s="23" t="n"/>
      <c r="F95" s="23" t="n"/>
      <c r="G95" s="23" t="n"/>
      <c r="H95" s="23" t="n"/>
      <c r="I95" s="23" t="n"/>
    </row>
    <row r="96">
      <c r="A96" s="22" t="n"/>
      <c r="B96" s="23" t="n"/>
      <c r="C96" s="23" t="n"/>
      <c r="D96" s="23" t="n"/>
      <c r="E96" s="23" t="n"/>
      <c r="F96" s="23" t="n"/>
      <c r="G96" s="23" t="n"/>
      <c r="H96" s="23" t="n"/>
      <c r="I96" s="23" t="n"/>
    </row>
    <row r="97">
      <c r="A97" s="22" t="n"/>
      <c r="B97" s="23" t="n"/>
      <c r="C97" s="23" t="n"/>
      <c r="D97" s="23" t="n"/>
      <c r="E97" s="23" t="n"/>
      <c r="F97" s="23" t="n"/>
      <c r="G97" s="23" t="n"/>
      <c r="H97" s="23" t="n"/>
      <c r="I97" s="23" t="n"/>
    </row>
    <row r="98">
      <c r="A98" s="22" t="n"/>
      <c r="B98" s="23" t="n"/>
      <c r="C98" s="23" t="n"/>
      <c r="D98" s="23" t="n"/>
      <c r="E98" s="23" t="n"/>
      <c r="F98" s="23" t="n"/>
      <c r="G98" s="23" t="n"/>
      <c r="H98" s="23" t="n"/>
      <c r="I98" s="23" t="n"/>
    </row>
    <row r="99">
      <c r="A99" s="22" t="n"/>
      <c r="B99" s="23" t="n"/>
      <c r="C99" s="23" t="n"/>
      <c r="D99" s="23" t="n"/>
      <c r="E99" s="23" t="n"/>
      <c r="F99" s="23" t="n"/>
      <c r="G99" s="23" t="n"/>
      <c r="H99" s="23" t="n"/>
      <c r="I99" s="23" t="n"/>
    </row>
    <row r="100">
      <c r="A100" s="22" t="n"/>
      <c r="B100" s="23" t="n"/>
      <c r="C100" s="23" t="n"/>
      <c r="D100" s="23" t="n"/>
      <c r="E100" s="23" t="n"/>
      <c r="F100" s="23" t="n"/>
      <c r="G100" s="23" t="n"/>
      <c r="H100" s="23" t="n"/>
      <c r="I100" s="23" t="n"/>
    </row>
    <row r="101">
      <c r="A101" s="22" t="n"/>
      <c r="B101" s="23" t="n"/>
      <c r="C101" s="23" t="n"/>
      <c r="D101" s="23" t="n"/>
      <c r="E101" s="23" t="n"/>
      <c r="F101" s="23" t="n"/>
      <c r="G101" s="23" t="n"/>
      <c r="H101" s="23" t="n"/>
      <c r="I101" s="23" t="n"/>
    </row>
    <row r="102">
      <c r="A102" s="22" t="n"/>
      <c r="B102" s="23" t="n"/>
      <c r="C102" s="23" t="n"/>
      <c r="D102" s="23" t="n"/>
      <c r="E102" s="23" t="n"/>
      <c r="F102" s="23" t="n"/>
      <c r="G102" s="23" t="n"/>
      <c r="H102" s="23" t="n"/>
      <c r="I102" s="23" t="n"/>
    </row>
    <row r="103">
      <c r="A103" s="22" t="n"/>
      <c r="B103" s="23" t="n"/>
      <c r="C103" s="23" t="n"/>
      <c r="D103" s="23" t="n"/>
      <c r="E103" s="23" t="n"/>
      <c r="F103" s="23" t="n"/>
      <c r="G103" s="23" t="n"/>
      <c r="H103" s="23" t="n"/>
      <c r="I103" s="23" t="n"/>
    </row>
    <row r="104">
      <c r="A104" s="22" t="n"/>
      <c r="B104" s="23" t="n"/>
      <c r="C104" s="23" t="n"/>
      <c r="D104" s="23" t="n"/>
      <c r="E104" s="23" t="n"/>
      <c r="F104" s="23" t="n"/>
      <c r="G104" s="23" t="n"/>
      <c r="H104" s="23" t="n"/>
      <c r="I104" s="23" t="n"/>
    </row>
    <row r="105">
      <c r="A105" s="22" t="n"/>
      <c r="B105" s="23" t="n"/>
      <c r="C105" s="23" t="n"/>
      <c r="D105" s="23" t="n"/>
      <c r="E105" s="23" t="n"/>
      <c r="F105" s="23" t="n"/>
      <c r="G105" s="23" t="n"/>
      <c r="H105" s="23" t="n"/>
      <c r="I105" s="23" t="n"/>
    </row>
    <row r="106">
      <c r="A106" s="22" t="n"/>
      <c r="B106" s="23" t="n"/>
      <c r="C106" s="23" t="n"/>
      <c r="D106" s="23" t="n"/>
      <c r="E106" s="23" t="n"/>
      <c r="F106" s="23" t="n"/>
      <c r="G106" s="23" t="n"/>
      <c r="H106" s="23" t="n"/>
      <c r="I106" s="23" t="n"/>
    </row>
    <row r="107">
      <c r="A107" s="22" t="n"/>
      <c r="B107" s="23" t="n"/>
      <c r="C107" s="23" t="n"/>
      <c r="D107" s="23" t="n"/>
      <c r="E107" s="23" t="n"/>
      <c r="F107" s="23" t="n"/>
      <c r="G107" s="23" t="n"/>
      <c r="H107" s="23" t="n"/>
      <c r="I107" s="23" t="n"/>
    </row>
    <row r="108">
      <c r="A108" s="22" t="n"/>
      <c r="B108" s="23" t="n"/>
      <c r="C108" s="23" t="n"/>
      <c r="D108" s="23" t="n"/>
      <c r="E108" s="23" t="n"/>
      <c r="F108" s="23" t="n"/>
      <c r="G108" s="23" t="n"/>
      <c r="H108" s="23" t="n"/>
      <c r="I108" s="23" t="n"/>
    </row>
    <row r="109">
      <c r="A109" s="22" t="n"/>
      <c r="B109" s="23" t="n"/>
      <c r="C109" s="23" t="n"/>
      <c r="D109" s="23" t="n"/>
      <c r="E109" s="23" t="n"/>
      <c r="F109" s="23" t="n"/>
      <c r="G109" s="23" t="n"/>
      <c r="H109" s="23" t="n"/>
      <c r="I109" s="23" t="n"/>
    </row>
    <row r="110">
      <c r="A110" s="22" t="n"/>
      <c r="B110" s="23" t="n"/>
      <c r="C110" s="23" t="n"/>
      <c r="D110" s="23" t="n"/>
      <c r="E110" s="23" t="n"/>
      <c r="F110" s="23" t="n"/>
      <c r="G110" s="23" t="n"/>
      <c r="H110" s="23" t="n"/>
      <c r="I110" s="23" t="n"/>
    </row>
    <row r="111">
      <c r="A111" s="22" t="n"/>
      <c r="B111" s="23" t="n"/>
      <c r="C111" s="23" t="n"/>
      <c r="D111" s="23" t="n"/>
      <c r="E111" s="23" t="n"/>
      <c r="F111" s="23" t="n"/>
      <c r="G111" s="23" t="n"/>
      <c r="H111" s="23" t="n"/>
      <c r="I111" s="23" t="n"/>
    </row>
    <row r="112">
      <c r="A112" s="22" t="n"/>
      <c r="B112" s="23" t="n"/>
      <c r="C112" s="23" t="n"/>
      <c r="D112" s="23" t="n"/>
      <c r="E112" s="23" t="n"/>
      <c r="F112" s="23" t="n"/>
      <c r="G112" s="23" t="n"/>
      <c r="H112" s="23" t="n"/>
      <c r="I112" s="23" t="n"/>
    </row>
    <row r="113">
      <c r="A113" s="22" t="n"/>
      <c r="B113" s="23" t="n"/>
      <c r="C113" s="23" t="n"/>
      <c r="D113" s="23" t="n"/>
      <c r="E113" s="23" t="n"/>
      <c r="F113" s="23" t="n"/>
      <c r="G113" s="23" t="n"/>
      <c r="H113" s="23" t="n"/>
      <c r="I113" s="23" t="n"/>
    </row>
    <row r="114">
      <c r="A114" s="22" t="n"/>
      <c r="B114" s="23" t="n"/>
      <c r="C114" s="23" t="n"/>
      <c r="D114" s="23" t="n"/>
      <c r="E114" s="23" t="n"/>
      <c r="F114" s="23" t="n"/>
      <c r="G114" s="23" t="n"/>
      <c r="H114" s="23" t="n"/>
      <c r="I114" s="23" t="n"/>
    </row>
    <row r="115">
      <c r="A115" s="22" t="n"/>
      <c r="B115" s="23" t="n"/>
      <c r="C115" s="23" t="n"/>
      <c r="D115" s="23" t="n"/>
      <c r="E115" s="23" t="n"/>
      <c r="F115" s="23" t="n"/>
      <c r="G115" s="23" t="n"/>
      <c r="H115" s="23" t="n"/>
      <c r="I115" s="23" t="n"/>
    </row>
    <row r="116">
      <c r="A116" s="22" t="n"/>
      <c r="B116" s="23" t="n"/>
      <c r="C116" s="23" t="n"/>
      <c r="D116" s="23" t="n"/>
      <c r="E116" s="23" t="n"/>
      <c r="F116" s="23" t="n"/>
      <c r="G116" s="23" t="n"/>
      <c r="H116" s="23" t="n"/>
      <c r="I116" s="23" t="n"/>
    </row>
    <row r="117">
      <c r="A117" s="22" t="n"/>
      <c r="B117" s="23" t="n"/>
      <c r="C117" s="23" t="n"/>
      <c r="D117" s="23" t="n"/>
      <c r="E117" s="23" t="n"/>
      <c r="F117" s="23" t="n"/>
      <c r="G117" s="23" t="n"/>
      <c r="H117" s="23" t="n"/>
      <c r="I117" s="23" t="n"/>
    </row>
    <row r="118">
      <c r="A118" s="22" t="n"/>
      <c r="B118" s="23" t="n"/>
      <c r="C118" s="23" t="n"/>
      <c r="D118" s="23" t="n"/>
      <c r="E118" s="23" t="n"/>
      <c r="F118" s="23" t="n"/>
      <c r="G118" s="23" t="n"/>
      <c r="H118" s="23" t="n"/>
      <c r="I118" s="23" t="n"/>
    </row>
    <row r="119">
      <c r="A119" s="22" t="n"/>
      <c r="B119" s="23" t="n"/>
      <c r="C119" s="23" t="n"/>
      <c r="D119" s="23" t="n"/>
      <c r="E119" s="23" t="n"/>
      <c r="F119" s="23" t="n"/>
      <c r="G119" s="23" t="n"/>
      <c r="H119" s="23" t="n"/>
      <c r="I119" s="23" t="n"/>
    </row>
    <row r="120">
      <c r="A120" s="22" t="n"/>
      <c r="B120" s="23" t="n"/>
      <c r="C120" s="23" t="n"/>
      <c r="D120" s="23" t="n"/>
      <c r="E120" s="23" t="n"/>
      <c r="F120" s="23" t="n"/>
      <c r="G120" s="23" t="n"/>
      <c r="H120" s="23" t="n"/>
      <c r="I120" s="23" t="n"/>
    </row>
  </sheetData>
  <mergeCells count="2">
    <mergeCell ref="A1:I1"/>
    <mergeCell ref="A2:I2"/>
  </mergeCells>
  <conditionalFormatting sqref="I4:I120">
    <cfRule type="cellIs" priority="1" operator="equal" dxfId="4">
      <formula>"Fait"</formula>
    </cfRule>
  </conditionalFormatting>
  <dataValidations count="2">
    <dataValidation sqref="D4:D120" showDropDown="0" showInputMessage="0" showErrorMessage="0" allowBlank="1" errorTitle="Valeur non prevue" error="Choisissez une valeur dans la liste." type="list">
      <formula1>'13_Listes'!$H$4:$H$10</formula1>
    </dataValidation>
    <dataValidation sqref="I4:I120" showDropDown="0" showInputMessage="0" showErrorMessage="0" allowBlank="1" errorTitle="Valeur non prevue" error="Choisissez une valeur dans la liste." type="list">
      <formula1>'13_Listes'!$K$4:$K$6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24" customWidth="1" min="3" max="3"/>
    <col width="14" customWidth="1" min="4" max="4"/>
    <col width="24" customWidth="1" min="5" max="5"/>
    <col width="14" customWidth="1" min="6" max="6"/>
    <col width="22" customWidth="1" min="7" max="7"/>
    <col width="18" customWidth="1" min="8" max="8"/>
    <col width="36" customWidth="1" min="9" max="9"/>
  </cols>
  <sheetData>
    <row r="1" ht="24" customHeight="1">
      <c r="A1" s="1" t="inlineStr">
        <is>
          <t>COMPOSITION DES BINOMES</t>
        </is>
      </c>
    </row>
    <row r="2">
      <c r="A2" s="6" t="inlineStr">
        <is>
          <t>Regle : un ecart d'UN niveau maximum. Jamais un P0 avec un P3 -- sinon le P3 fait tout et le P0 regarde. Rotation des binomes toutes les 3 seances.</t>
        </is>
      </c>
    </row>
    <row r="3" ht="30" customHeight="1">
      <c r="A3" s="7" t="inlineStr">
        <is>
          <t>Seance</t>
        </is>
      </c>
      <c r="B3" s="7" t="inlineStr">
        <is>
          <t>Poste n°</t>
        </is>
      </c>
      <c r="C3" s="7" t="inlineStr">
        <is>
          <t>Eleve A (pilote en 1er)</t>
        </is>
      </c>
      <c r="D3" s="7" t="inlineStr">
        <is>
          <t>Profil A</t>
        </is>
      </c>
      <c r="E3" s="7" t="inlineStr">
        <is>
          <t>Eleve B (copilote)</t>
        </is>
      </c>
      <c r="F3" s="7" t="inlineStr">
        <is>
          <t>Profil B</t>
        </is>
      </c>
      <c r="G3" s="7" t="inlineStr">
        <is>
          <t>3e eleve (trinome)</t>
        </is>
      </c>
      <c r="H3" s="7" t="inlineStr">
        <is>
          <t>Ca s'est bien passe ?</t>
        </is>
      </c>
      <c r="I3" s="7" t="inlineStr">
        <is>
          <t>Remarques</t>
        </is>
      </c>
    </row>
    <row r="4">
      <c r="A4" s="21" t="inlineStr">
        <is>
          <t>S01</t>
        </is>
      </c>
      <c r="B4" s="21" t="n">
        <v>1</v>
      </c>
      <c r="C4" s="21" t="inlineStr">
        <is>
          <t>KOUASSI Awa</t>
        </is>
      </c>
      <c r="D4" s="21" t="inlineStr">
        <is>
          <t>P0 Decouvreur</t>
        </is>
      </c>
      <c r="E4" s="21" t="inlineStr">
        <is>
          <t>DIALLO Ibrahim</t>
        </is>
      </c>
      <c r="F4" s="21" t="inlineStr">
        <is>
          <t>P1 Initie</t>
        </is>
      </c>
      <c r="G4" s="21" t="inlineStr"/>
      <c r="H4" s="21" t="inlineStr"/>
      <c r="I4" s="21" t="inlineStr">
        <is>
          <t>Awa n'ose pas taper : rappeler la rotation</t>
        </is>
      </c>
    </row>
    <row r="5">
      <c r="A5" s="23" t="inlineStr">
        <is>
          <t>S01</t>
        </is>
      </c>
      <c r="B5" s="23" t="n">
        <v>2</v>
      </c>
      <c r="C5" s="23" t="n"/>
      <c r="D5" s="23" t="n"/>
      <c r="E5" s="23" t="n"/>
      <c r="F5" s="23" t="n"/>
      <c r="G5" s="23" t="n"/>
      <c r="H5" s="23" t="n"/>
      <c r="I5" s="23" t="n"/>
    </row>
    <row r="6">
      <c r="A6" s="23" t="inlineStr">
        <is>
          <t>S01</t>
        </is>
      </c>
      <c r="B6" s="23" t="n">
        <v>3</v>
      </c>
      <c r="C6" s="23" t="n"/>
      <c r="D6" s="23" t="n"/>
      <c r="E6" s="23" t="n"/>
      <c r="F6" s="23" t="n"/>
      <c r="G6" s="23" t="n"/>
      <c r="H6" s="23" t="n"/>
      <c r="I6" s="23" t="n"/>
    </row>
    <row r="7">
      <c r="A7" s="23" t="inlineStr">
        <is>
          <t>S01</t>
        </is>
      </c>
      <c r="B7" s="23" t="n">
        <v>4</v>
      </c>
      <c r="C7" s="23" t="n"/>
      <c r="D7" s="23" t="n"/>
      <c r="E7" s="23" t="n"/>
      <c r="F7" s="23" t="n"/>
      <c r="G7" s="23" t="n"/>
      <c r="H7" s="23" t="n"/>
      <c r="I7" s="23" t="n"/>
    </row>
    <row r="8">
      <c r="A8" s="23" t="inlineStr">
        <is>
          <t>S01</t>
        </is>
      </c>
      <c r="B8" s="23" t="n">
        <v>5</v>
      </c>
      <c r="C8" s="23" t="n"/>
      <c r="D8" s="23" t="n"/>
      <c r="E8" s="23" t="n"/>
      <c r="F8" s="23" t="n"/>
      <c r="G8" s="23" t="n"/>
      <c r="H8" s="23" t="n"/>
      <c r="I8" s="23" t="n"/>
    </row>
    <row r="9">
      <c r="A9" s="23" t="inlineStr">
        <is>
          <t>S01</t>
        </is>
      </c>
      <c r="B9" s="23" t="n">
        <v>6</v>
      </c>
      <c r="C9" s="23" t="n"/>
      <c r="D9" s="23" t="n"/>
      <c r="E9" s="23" t="n"/>
      <c r="F9" s="23" t="n"/>
      <c r="G9" s="23" t="n"/>
      <c r="H9" s="23" t="n"/>
      <c r="I9" s="23" t="n"/>
    </row>
    <row r="10">
      <c r="A10" s="23" t="inlineStr">
        <is>
          <t>S01</t>
        </is>
      </c>
      <c r="B10" s="23" t="n">
        <v>7</v>
      </c>
      <c r="C10" s="23" t="n"/>
      <c r="D10" s="23" t="n"/>
      <c r="E10" s="23" t="n"/>
      <c r="F10" s="23" t="n"/>
      <c r="G10" s="23" t="n"/>
      <c r="H10" s="23" t="n"/>
      <c r="I10" s="23" t="n"/>
    </row>
    <row r="11">
      <c r="A11" s="23" t="inlineStr">
        <is>
          <t>S01</t>
        </is>
      </c>
      <c r="B11" s="23" t="n">
        <v>8</v>
      </c>
      <c r="C11" s="23" t="n"/>
      <c r="D11" s="23" t="n"/>
      <c r="E11" s="23" t="n"/>
      <c r="F11" s="23" t="n"/>
      <c r="G11" s="23" t="n"/>
      <c r="H11" s="23" t="n"/>
      <c r="I11" s="23" t="n"/>
    </row>
    <row r="12">
      <c r="A12" s="23" t="inlineStr">
        <is>
          <t>S01</t>
        </is>
      </c>
      <c r="B12" s="23" t="n">
        <v>9</v>
      </c>
      <c r="C12" s="23" t="n"/>
      <c r="D12" s="23" t="n"/>
      <c r="E12" s="23" t="n"/>
      <c r="F12" s="23" t="n"/>
      <c r="G12" s="23" t="n"/>
      <c r="H12" s="23" t="n"/>
      <c r="I12" s="23" t="n"/>
    </row>
    <row r="13">
      <c r="A13" s="23" t="inlineStr">
        <is>
          <t>S01</t>
        </is>
      </c>
      <c r="B13" s="23" t="n">
        <v>10</v>
      </c>
      <c r="C13" s="23" t="n"/>
      <c r="D13" s="23" t="n"/>
      <c r="E13" s="23" t="n"/>
      <c r="F13" s="23" t="n"/>
      <c r="G13" s="23" t="n"/>
      <c r="H13" s="23" t="n"/>
      <c r="I13" s="23" t="n"/>
    </row>
    <row r="14">
      <c r="A14" s="23" t="inlineStr">
        <is>
          <t>S01</t>
        </is>
      </c>
      <c r="B14" s="23" t="n">
        <v>11</v>
      </c>
      <c r="C14" s="23" t="n"/>
      <c r="D14" s="23" t="n"/>
      <c r="E14" s="23" t="n"/>
      <c r="F14" s="23" t="n"/>
      <c r="G14" s="23" t="n"/>
      <c r="H14" s="23" t="n"/>
      <c r="I14" s="23" t="n"/>
    </row>
    <row r="15">
      <c r="A15" s="23" t="inlineStr">
        <is>
          <t>S01</t>
        </is>
      </c>
      <c r="B15" s="23" t="n">
        <v>12</v>
      </c>
      <c r="C15" s="23" t="n"/>
      <c r="D15" s="23" t="n"/>
      <c r="E15" s="23" t="n"/>
      <c r="F15" s="23" t="n"/>
      <c r="G15" s="23" t="n"/>
      <c r="H15" s="23" t="n"/>
      <c r="I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</row>
    <row r="4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</row>
    <row r="42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</row>
    <row r="43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</row>
    <row r="44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</row>
    <row r="45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</row>
    <row r="46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</row>
    <row r="47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</row>
    <row r="48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</row>
    <row r="49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</row>
    <row r="50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</row>
    <row r="5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</row>
    <row r="52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</row>
    <row r="53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</row>
    <row r="54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</row>
    <row r="55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</row>
    <row r="56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</row>
    <row r="57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</row>
    <row r="58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</row>
    <row r="59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</row>
    <row r="60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</row>
    <row r="6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</row>
    <row r="62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</row>
    <row r="63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</row>
    <row r="64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</row>
    <row r="65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</row>
    <row r="66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</row>
    <row r="67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</row>
    <row r="68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</row>
    <row r="69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</row>
    <row r="70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</row>
    <row r="7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</row>
    <row r="72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</row>
    <row r="73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</row>
    <row r="74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</row>
    <row r="75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</row>
    <row r="76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</row>
    <row r="77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</row>
    <row r="78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</row>
    <row r="79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</row>
    <row r="80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</row>
  </sheetData>
  <mergeCells count="2">
    <mergeCell ref="A1:I1"/>
    <mergeCell ref="A2:I2"/>
  </mergeCells>
  <dataValidations count="3">
    <dataValidation sqref="D4:D80" showDropDown="0" showInputMessage="0" showErrorMessage="0" allowBlank="1" errorTitle="Valeur non prevue" error="Choisissez une valeur dans la liste." type="list">
      <formula1>'13_Listes'!$B$4:$B$7</formula1>
    </dataValidation>
    <dataValidation sqref="F4:F80" showDropDown="0" showInputMessage="0" showErrorMessage="0" allowBlank="1" errorTitle="Valeur non prevue" error="Choisissez une valeur dans la liste." type="list">
      <formula1>'13_Listes'!$B$4:$B$7</formula1>
    </dataValidation>
    <dataValidation sqref="H4:H80" showDropDown="0" showInputMessage="0" showErrorMessage="0" allowBlank="1" errorTitle="Valeur non prevue" error="Choisissez une valeur dans la liste." type="list">
      <formula1>'13_Listes'!$E$4:$E$5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1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9" customWidth="1" min="18" max="18"/>
    <col width="18" customWidth="1" min="19" max="19"/>
    <col width="13" customWidth="1" min="20" max="20"/>
  </cols>
  <sheetData>
    <row r="1" ht="24" customHeight="1">
      <c r="A1" s="1" t="inlineStr">
        <is>
          <t>BADGES ET GRADES</t>
        </is>
      </c>
    </row>
    <row r="2">
      <c r="A2" s="6" t="inlineStr">
        <is>
          <t>On note le NOMBRE de fois ou le badge a ete donne. Objectif : chaque eleve repart avec au moins un badge par seance. Le badge 'Perseverant' est le plus important du dispositif.</t>
        </is>
      </c>
    </row>
    <row r="3" ht="30" customHeight="1">
      <c r="A3" s="7" t="inlineStr">
        <is>
          <t>N°</t>
        </is>
      </c>
      <c r="B3" s="7" t="inlineStr">
        <is>
          <t>NOM</t>
        </is>
      </c>
      <c r="C3" s="7" t="inlineStr">
        <is>
          <t>Prenom</t>
        </is>
      </c>
      <c r="D3" s="7" t="inlineStr">
        <is>
          <t>Classe</t>
        </is>
      </c>
      <c r="E3" s="7" t="inlineStr">
        <is>
          <t>Batisseur</t>
        </is>
      </c>
      <c r="F3" s="7" t="inlineStr">
        <is>
          <t>Bon copilote</t>
        </is>
      </c>
      <c r="G3" s="7" t="inlineStr">
        <is>
          <t>Chasseur de bug</t>
        </is>
      </c>
      <c r="H3" s="7" t="inlineStr">
        <is>
          <t>Sauveteur</t>
        </is>
      </c>
      <c r="I3" s="7" t="inlineStr">
        <is>
          <t>Traducteur d'erreur</t>
        </is>
      </c>
      <c r="J3" s="7" t="inlineStr">
        <is>
          <t>Perseverant</t>
        </is>
      </c>
      <c r="K3" s="7" t="inlineStr">
        <is>
          <t>Question en or</t>
        </is>
      </c>
      <c r="L3" s="7" t="inlineStr">
        <is>
          <t>Zero indentation</t>
        </is>
      </c>
      <c r="M3" s="7" t="inlineStr">
        <is>
          <t>Testeur impitoyable</t>
        </is>
      </c>
      <c r="N3" s="7" t="inlineStr">
        <is>
          <t>Beau design</t>
        </is>
      </c>
      <c r="O3" s="7" t="inlineStr">
        <is>
          <t>Explorateur</t>
        </is>
      </c>
      <c r="P3" s="7" t="inlineStr">
        <is>
          <t>Piste Noire</t>
        </is>
      </c>
      <c r="Q3" s="7" t="inlineStr">
        <is>
          <t>Presentateur</t>
        </is>
      </c>
      <c r="R3" s="7" t="inlineStr">
        <is>
          <t>TOTAL</t>
        </is>
      </c>
      <c r="S3" s="7" t="inlineStr">
        <is>
          <t>GRADE ACTUEL</t>
        </is>
      </c>
      <c r="T3" s="7" t="inlineStr">
        <is>
          <t>Date du grade</t>
        </is>
      </c>
    </row>
    <row r="4">
      <c r="A4" s="13" t="n">
        <v>1</v>
      </c>
      <c r="B4" s="11">
        <f>IF('01_Apprenants'!B4="","",'01_Apprenants'!B4)</f>
        <v/>
      </c>
      <c r="C4" s="11">
        <f>IF('01_Apprenants'!C4="","",'01_Apprenants'!C4)</f>
        <v/>
      </c>
      <c r="D4" s="11">
        <f>IF('01_Apprenants'!D4="","",'01_Apprenants'!D4)</f>
        <v/>
      </c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1">
        <f>IF('01_Apprenants'!B4="","",SUM(E4:Q4))</f>
        <v/>
      </c>
      <c r="S4" s="14" t="n"/>
      <c r="T4" s="15" t="n"/>
    </row>
    <row r="5">
      <c r="A5" s="13" t="n">
        <v>2</v>
      </c>
      <c r="B5" s="11">
        <f>IF('01_Apprenants'!B5="","",'01_Apprenants'!B5)</f>
        <v/>
      </c>
      <c r="C5" s="11">
        <f>IF('01_Apprenants'!C5="","",'01_Apprenants'!C5)</f>
        <v/>
      </c>
      <c r="D5" s="11">
        <f>IF('01_Apprenants'!D5="","",'01_Apprenants'!D5)</f>
        <v/>
      </c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1">
        <f>IF('01_Apprenants'!B5="","",SUM(E5:Q5))</f>
        <v/>
      </c>
      <c r="S5" s="14" t="n"/>
      <c r="T5" s="15" t="n"/>
    </row>
    <row r="6">
      <c r="A6" s="13" t="n">
        <v>3</v>
      </c>
      <c r="B6" s="11">
        <f>IF('01_Apprenants'!B6="","",'01_Apprenants'!B6)</f>
        <v/>
      </c>
      <c r="C6" s="11">
        <f>IF('01_Apprenants'!C6="","",'01_Apprenants'!C6)</f>
        <v/>
      </c>
      <c r="D6" s="11">
        <f>IF('01_Apprenants'!D6="","",'01_Apprenants'!D6)</f>
        <v/>
      </c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1">
        <f>IF('01_Apprenants'!B6="","",SUM(E6:Q6))</f>
        <v/>
      </c>
      <c r="S6" s="14" t="n"/>
      <c r="T6" s="15" t="n"/>
    </row>
    <row r="7">
      <c r="A7" s="13" t="n">
        <v>4</v>
      </c>
      <c r="B7" s="11">
        <f>IF('01_Apprenants'!B7="","",'01_Apprenants'!B7)</f>
        <v/>
      </c>
      <c r="C7" s="11">
        <f>IF('01_Apprenants'!C7="","",'01_Apprenants'!C7)</f>
        <v/>
      </c>
      <c r="D7" s="11">
        <f>IF('01_Apprenants'!D7="","",'01_Apprenants'!D7)</f>
        <v/>
      </c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1">
        <f>IF('01_Apprenants'!B7="","",SUM(E7:Q7))</f>
        <v/>
      </c>
      <c r="S7" s="14" t="n"/>
      <c r="T7" s="15" t="n"/>
    </row>
    <row r="8">
      <c r="A8" s="13" t="n">
        <v>5</v>
      </c>
      <c r="B8" s="11">
        <f>IF('01_Apprenants'!B8="","",'01_Apprenants'!B8)</f>
        <v/>
      </c>
      <c r="C8" s="11">
        <f>IF('01_Apprenants'!C8="","",'01_Apprenants'!C8)</f>
        <v/>
      </c>
      <c r="D8" s="11">
        <f>IF('01_Apprenants'!D8="","",'01_Apprenants'!D8)</f>
        <v/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1">
        <f>IF('01_Apprenants'!B8="","",SUM(E8:Q8))</f>
        <v/>
      </c>
      <c r="S8" s="14" t="n"/>
      <c r="T8" s="15" t="n"/>
    </row>
    <row r="9">
      <c r="A9" s="13" t="n">
        <v>6</v>
      </c>
      <c r="B9" s="11">
        <f>IF('01_Apprenants'!B9="","",'01_Apprenants'!B9)</f>
        <v/>
      </c>
      <c r="C9" s="11">
        <f>IF('01_Apprenants'!C9="","",'01_Apprenants'!C9)</f>
        <v/>
      </c>
      <c r="D9" s="11">
        <f>IF('01_Apprenants'!D9="","",'01_Apprenants'!D9)</f>
        <v/>
      </c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1">
        <f>IF('01_Apprenants'!B9="","",SUM(E9:Q9))</f>
        <v/>
      </c>
      <c r="S9" s="14" t="n"/>
      <c r="T9" s="15" t="n"/>
    </row>
    <row r="10">
      <c r="A10" s="13" t="n">
        <v>7</v>
      </c>
      <c r="B10" s="11">
        <f>IF('01_Apprenants'!B10="","",'01_Apprenants'!B10)</f>
        <v/>
      </c>
      <c r="C10" s="11">
        <f>IF('01_Apprenants'!C10="","",'01_Apprenants'!C10)</f>
        <v/>
      </c>
      <c r="D10" s="11">
        <f>IF('01_Apprenants'!D10="","",'01_Apprenants'!D10)</f>
        <v/>
      </c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1">
        <f>IF('01_Apprenants'!B10="","",SUM(E10:Q10))</f>
        <v/>
      </c>
      <c r="S10" s="14" t="n"/>
      <c r="T10" s="15" t="n"/>
    </row>
    <row r="11">
      <c r="A11" s="13" t="n">
        <v>8</v>
      </c>
      <c r="B11" s="11">
        <f>IF('01_Apprenants'!B11="","",'01_Apprenants'!B11)</f>
        <v/>
      </c>
      <c r="C11" s="11">
        <f>IF('01_Apprenants'!C11="","",'01_Apprenants'!C11)</f>
        <v/>
      </c>
      <c r="D11" s="11">
        <f>IF('01_Apprenants'!D11="","",'01_Apprenants'!D11)</f>
        <v/>
      </c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1">
        <f>IF('01_Apprenants'!B11="","",SUM(E11:Q11))</f>
        <v/>
      </c>
      <c r="S11" s="14" t="n"/>
      <c r="T11" s="15" t="n"/>
    </row>
    <row r="12">
      <c r="A12" s="13" t="n">
        <v>9</v>
      </c>
      <c r="B12" s="11">
        <f>IF('01_Apprenants'!B12="","",'01_Apprenants'!B12)</f>
        <v/>
      </c>
      <c r="C12" s="11">
        <f>IF('01_Apprenants'!C12="","",'01_Apprenants'!C12)</f>
        <v/>
      </c>
      <c r="D12" s="11">
        <f>IF('01_Apprenants'!D12="","",'01_Apprenants'!D12)</f>
        <v/>
      </c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1">
        <f>IF('01_Apprenants'!B12="","",SUM(E12:Q12))</f>
        <v/>
      </c>
      <c r="S12" s="14" t="n"/>
      <c r="T12" s="15" t="n"/>
    </row>
    <row r="13">
      <c r="A13" s="13" t="n">
        <v>10</v>
      </c>
      <c r="B13" s="11">
        <f>IF('01_Apprenants'!B13="","",'01_Apprenants'!B13)</f>
        <v/>
      </c>
      <c r="C13" s="11">
        <f>IF('01_Apprenants'!C13="","",'01_Apprenants'!C13)</f>
        <v/>
      </c>
      <c r="D13" s="11">
        <f>IF('01_Apprenants'!D13="","",'01_Apprenants'!D13)</f>
        <v/>
      </c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1">
        <f>IF('01_Apprenants'!B13="","",SUM(E13:Q13))</f>
        <v/>
      </c>
      <c r="S13" s="14" t="n"/>
      <c r="T13" s="15" t="n"/>
    </row>
    <row r="14">
      <c r="A14" s="13" t="n">
        <v>11</v>
      </c>
      <c r="B14" s="11">
        <f>IF('01_Apprenants'!B14="","",'01_Apprenants'!B14)</f>
        <v/>
      </c>
      <c r="C14" s="11">
        <f>IF('01_Apprenants'!C14="","",'01_Apprenants'!C14)</f>
        <v/>
      </c>
      <c r="D14" s="11">
        <f>IF('01_Apprenants'!D14="","",'01_Apprenants'!D14)</f>
        <v/>
      </c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1">
        <f>IF('01_Apprenants'!B14="","",SUM(E14:Q14))</f>
        <v/>
      </c>
      <c r="S14" s="14" t="n"/>
      <c r="T14" s="15" t="n"/>
    </row>
    <row r="15">
      <c r="A15" s="13" t="n">
        <v>12</v>
      </c>
      <c r="B15" s="11">
        <f>IF('01_Apprenants'!B15="","",'01_Apprenants'!B15)</f>
        <v/>
      </c>
      <c r="C15" s="11">
        <f>IF('01_Apprenants'!C15="","",'01_Apprenants'!C15)</f>
        <v/>
      </c>
      <c r="D15" s="11">
        <f>IF('01_Apprenants'!D15="","",'01_Apprenants'!D15)</f>
        <v/>
      </c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1">
        <f>IF('01_Apprenants'!B15="","",SUM(E15:Q15))</f>
        <v/>
      </c>
      <c r="S15" s="14" t="n"/>
      <c r="T15" s="15" t="n"/>
    </row>
    <row r="16">
      <c r="A16" s="13" t="n">
        <v>13</v>
      </c>
      <c r="B16" s="11">
        <f>IF('01_Apprenants'!B16="","",'01_Apprenants'!B16)</f>
        <v/>
      </c>
      <c r="C16" s="11">
        <f>IF('01_Apprenants'!C16="","",'01_Apprenants'!C16)</f>
        <v/>
      </c>
      <c r="D16" s="11">
        <f>IF('01_Apprenants'!D16="","",'01_Apprenants'!D16)</f>
        <v/>
      </c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1">
        <f>IF('01_Apprenants'!B16="","",SUM(E16:Q16))</f>
        <v/>
      </c>
      <c r="S16" s="14" t="n"/>
      <c r="T16" s="15" t="n"/>
    </row>
    <row r="17">
      <c r="A17" s="13" t="n">
        <v>14</v>
      </c>
      <c r="B17" s="11">
        <f>IF('01_Apprenants'!B17="","",'01_Apprenants'!B17)</f>
        <v/>
      </c>
      <c r="C17" s="11">
        <f>IF('01_Apprenants'!C17="","",'01_Apprenants'!C17)</f>
        <v/>
      </c>
      <c r="D17" s="11">
        <f>IF('01_Apprenants'!D17="","",'01_Apprenants'!D17)</f>
        <v/>
      </c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1">
        <f>IF('01_Apprenants'!B17="","",SUM(E17:Q17))</f>
        <v/>
      </c>
      <c r="S17" s="14" t="n"/>
      <c r="T17" s="15" t="n"/>
    </row>
    <row r="18">
      <c r="A18" s="13" t="n">
        <v>15</v>
      </c>
      <c r="B18" s="11">
        <f>IF('01_Apprenants'!B18="","",'01_Apprenants'!B18)</f>
        <v/>
      </c>
      <c r="C18" s="11">
        <f>IF('01_Apprenants'!C18="","",'01_Apprenants'!C18)</f>
        <v/>
      </c>
      <c r="D18" s="11">
        <f>IF('01_Apprenants'!D18="","",'01_Apprenants'!D18)</f>
        <v/>
      </c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1">
        <f>IF('01_Apprenants'!B18="","",SUM(E18:Q18))</f>
        <v/>
      </c>
      <c r="S18" s="14" t="n"/>
      <c r="T18" s="15" t="n"/>
    </row>
    <row r="19">
      <c r="A19" s="13" t="n">
        <v>16</v>
      </c>
      <c r="B19" s="11">
        <f>IF('01_Apprenants'!B19="","",'01_Apprenants'!B19)</f>
        <v/>
      </c>
      <c r="C19" s="11">
        <f>IF('01_Apprenants'!C19="","",'01_Apprenants'!C19)</f>
        <v/>
      </c>
      <c r="D19" s="11">
        <f>IF('01_Apprenants'!D19="","",'01_Apprenants'!D19)</f>
        <v/>
      </c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1">
        <f>IF('01_Apprenants'!B19="","",SUM(E19:Q19))</f>
        <v/>
      </c>
      <c r="S19" s="14" t="n"/>
      <c r="T19" s="15" t="n"/>
    </row>
    <row r="20">
      <c r="A20" s="13" t="n">
        <v>17</v>
      </c>
      <c r="B20" s="11">
        <f>IF('01_Apprenants'!B20="","",'01_Apprenants'!B20)</f>
        <v/>
      </c>
      <c r="C20" s="11">
        <f>IF('01_Apprenants'!C20="","",'01_Apprenants'!C20)</f>
        <v/>
      </c>
      <c r="D20" s="11">
        <f>IF('01_Apprenants'!D20="","",'01_Apprenants'!D20)</f>
        <v/>
      </c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1">
        <f>IF('01_Apprenants'!B20="","",SUM(E20:Q20))</f>
        <v/>
      </c>
      <c r="S20" s="14" t="n"/>
      <c r="T20" s="15" t="n"/>
    </row>
    <row r="21">
      <c r="A21" s="13" t="n">
        <v>18</v>
      </c>
      <c r="B21" s="11">
        <f>IF('01_Apprenants'!B21="","",'01_Apprenants'!B21)</f>
        <v/>
      </c>
      <c r="C21" s="11">
        <f>IF('01_Apprenants'!C21="","",'01_Apprenants'!C21)</f>
        <v/>
      </c>
      <c r="D21" s="11">
        <f>IF('01_Apprenants'!D21="","",'01_Apprenants'!D21)</f>
        <v/>
      </c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1">
        <f>IF('01_Apprenants'!B21="","",SUM(E21:Q21))</f>
        <v/>
      </c>
      <c r="S21" s="14" t="n"/>
      <c r="T21" s="15" t="n"/>
    </row>
    <row r="22">
      <c r="A22" s="13" t="n">
        <v>19</v>
      </c>
      <c r="B22" s="11">
        <f>IF('01_Apprenants'!B22="","",'01_Apprenants'!B22)</f>
        <v/>
      </c>
      <c r="C22" s="11">
        <f>IF('01_Apprenants'!C22="","",'01_Apprenants'!C22)</f>
        <v/>
      </c>
      <c r="D22" s="11">
        <f>IF('01_Apprenants'!D22="","",'01_Apprenants'!D22)</f>
        <v/>
      </c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1">
        <f>IF('01_Apprenants'!B22="","",SUM(E22:Q22))</f>
        <v/>
      </c>
      <c r="S22" s="14" t="n"/>
      <c r="T22" s="15" t="n"/>
    </row>
    <row r="23">
      <c r="A23" s="13" t="n">
        <v>20</v>
      </c>
      <c r="B23" s="11">
        <f>IF('01_Apprenants'!B23="","",'01_Apprenants'!B23)</f>
        <v/>
      </c>
      <c r="C23" s="11">
        <f>IF('01_Apprenants'!C23="","",'01_Apprenants'!C23)</f>
        <v/>
      </c>
      <c r="D23" s="11">
        <f>IF('01_Apprenants'!D23="","",'01_Apprenants'!D23)</f>
        <v/>
      </c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1">
        <f>IF('01_Apprenants'!B23="","",SUM(E23:Q23))</f>
        <v/>
      </c>
      <c r="S23" s="14" t="n"/>
      <c r="T23" s="15" t="n"/>
    </row>
    <row r="24">
      <c r="A24" s="13" t="n">
        <v>21</v>
      </c>
      <c r="B24" s="11">
        <f>IF('01_Apprenants'!B24="","",'01_Apprenants'!B24)</f>
        <v/>
      </c>
      <c r="C24" s="11">
        <f>IF('01_Apprenants'!C24="","",'01_Apprenants'!C24)</f>
        <v/>
      </c>
      <c r="D24" s="11">
        <f>IF('01_Apprenants'!D24="","",'01_Apprenants'!D24)</f>
        <v/>
      </c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1">
        <f>IF('01_Apprenants'!B24="","",SUM(E24:Q24))</f>
        <v/>
      </c>
      <c r="S24" s="14" t="n"/>
      <c r="T24" s="15" t="n"/>
    </row>
    <row r="25">
      <c r="A25" s="13" t="n">
        <v>22</v>
      </c>
      <c r="B25" s="11">
        <f>IF('01_Apprenants'!B25="","",'01_Apprenants'!B25)</f>
        <v/>
      </c>
      <c r="C25" s="11">
        <f>IF('01_Apprenants'!C25="","",'01_Apprenants'!C25)</f>
        <v/>
      </c>
      <c r="D25" s="11">
        <f>IF('01_Apprenants'!D25="","",'01_Apprenants'!D25)</f>
        <v/>
      </c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1">
        <f>IF('01_Apprenants'!B25="","",SUM(E25:Q25))</f>
        <v/>
      </c>
      <c r="S25" s="14" t="n"/>
      <c r="T25" s="15" t="n"/>
    </row>
    <row r="26">
      <c r="A26" s="13" t="n">
        <v>23</v>
      </c>
      <c r="B26" s="11">
        <f>IF('01_Apprenants'!B26="","",'01_Apprenants'!B26)</f>
        <v/>
      </c>
      <c r="C26" s="11">
        <f>IF('01_Apprenants'!C26="","",'01_Apprenants'!C26)</f>
        <v/>
      </c>
      <c r="D26" s="11">
        <f>IF('01_Apprenants'!D26="","",'01_Apprenants'!D26)</f>
        <v/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1">
        <f>IF('01_Apprenants'!B26="","",SUM(E26:Q26))</f>
        <v/>
      </c>
      <c r="S26" s="14" t="n"/>
      <c r="T26" s="15" t="n"/>
    </row>
    <row r="27">
      <c r="A27" s="13" t="n">
        <v>24</v>
      </c>
      <c r="B27" s="11">
        <f>IF('01_Apprenants'!B27="","",'01_Apprenants'!B27)</f>
        <v/>
      </c>
      <c r="C27" s="11">
        <f>IF('01_Apprenants'!C27="","",'01_Apprenants'!C27)</f>
        <v/>
      </c>
      <c r="D27" s="11">
        <f>IF('01_Apprenants'!D27="","",'01_Apprenants'!D27)</f>
        <v/>
      </c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1">
        <f>IF('01_Apprenants'!B27="","",SUM(E27:Q27))</f>
        <v/>
      </c>
      <c r="S27" s="14" t="n"/>
      <c r="T27" s="15" t="n"/>
    </row>
    <row r="28">
      <c r="A28" s="13" t="n">
        <v>25</v>
      </c>
      <c r="B28" s="11">
        <f>IF('01_Apprenants'!B28="","",'01_Apprenants'!B28)</f>
        <v/>
      </c>
      <c r="C28" s="11">
        <f>IF('01_Apprenants'!C28="","",'01_Apprenants'!C28)</f>
        <v/>
      </c>
      <c r="D28" s="11">
        <f>IF('01_Apprenants'!D28="","",'01_Apprenants'!D28)</f>
        <v/>
      </c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1">
        <f>IF('01_Apprenants'!B28="","",SUM(E28:Q28))</f>
        <v/>
      </c>
      <c r="S28" s="14" t="n"/>
      <c r="T28" s="15" t="n"/>
    </row>
    <row r="29">
      <c r="A29" s="13" t="n">
        <v>26</v>
      </c>
      <c r="B29" s="11">
        <f>IF('01_Apprenants'!B29="","",'01_Apprenants'!B29)</f>
        <v/>
      </c>
      <c r="C29" s="11">
        <f>IF('01_Apprenants'!C29="","",'01_Apprenants'!C29)</f>
        <v/>
      </c>
      <c r="D29" s="11">
        <f>IF('01_Apprenants'!D29="","",'01_Apprenants'!D29)</f>
        <v/>
      </c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1">
        <f>IF('01_Apprenants'!B29="","",SUM(E29:Q29))</f>
        <v/>
      </c>
      <c r="S29" s="14" t="n"/>
      <c r="T29" s="15" t="n"/>
    </row>
    <row r="30">
      <c r="A30" s="13" t="n">
        <v>27</v>
      </c>
      <c r="B30" s="11">
        <f>IF('01_Apprenants'!B30="","",'01_Apprenants'!B30)</f>
        <v/>
      </c>
      <c r="C30" s="11">
        <f>IF('01_Apprenants'!C30="","",'01_Apprenants'!C30)</f>
        <v/>
      </c>
      <c r="D30" s="11">
        <f>IF('01_Apprenants'!D30="","",'01_Apprenants'!D30)</f>
        <v/>
      </c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1">
        <f>IF('01_Apprenants'!B30="","",SUM(E30:Q30))</f>
        <v/>
      </c>
      <c r="S30" s="14" t="n"/>
      <c r="T30" s="15" t="n"/>
    </row>
    <row r="31">
      <c r="A31" s="13" t="n">
        <v>28</v>
      </c>
      <c r="B31" s="11">
        <f>IF('01_Apprenants'!B31="","",'01_Apprenants'!B31)</f>
        <v/>
      </c>
      <c r="C31" s="11">
        <f>IF('01_Apprenants'!C31="","",'01_Apprenants'!C31)</f>
        <v/>
      </c>
      <c r="D31" s="11">
        <f>IF('01_Apprenants'!D31="","",'01_Apprenants'!D31)</f>
        <v/>
      </c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1">
        <f>IF('01_Apprenants'!B31="","",SUM(E31:Q31))</f>
        <v/>
      </c>
      <c r="S31" s="14" t="n"/>
      <c r="T31" s="15" t="n"/>
    </row>
    <row r="32">
      <c r="A32" s="13" t="n">
        <v>29</v>
      </c>
      <c r="B32" s="11">
        <f>IF('01_Apprenants'!B32="","",'01_Apprenants'!B32)</f>
        <v/>
      </c>
      <c r="C32" s="11">
        <f>IF('01_Apprenants'!C32="","",'01_Apprenants'!C32)</f>
        <v/>
      </c>
      <c r="D32" s="11">
        <f>IF('01_Apprenants'!D32="","",'01_Apprenants'!D32)</f>
        <v/>
      </c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1">
        <f>IF('01_Apprenants'!B32="","",SUM(E32:Q32))</f>
        <v/>
      </c>
      <c r="S32" s="14" t="n"/>
      <c r="T32" s="15" t="n"/>
    </row>
    <row r="33">
      <c r="A33" s="13" t="n">
        <v>30</v>
      </c>
      <c r="B33" s="11">
        <f>IF('01_Apprenants'!B33="","",'01_Apprenants'!B33)</f>
        <v/>
      </c>
      <c r="C33" s="11">
        <f>IF('01_Apprenants'!C33="","",'01_Apprenants'!C33)</f>
        <v/>
      </c>
      <c r="D33" s="11">
        <f>IF('01_Apprenants'!D33="","",'01_Apprenants'!D33)</f>
        <v/>
      </c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1">
        <f>IF('01_Apprenants'!B33="","",SUM(E33:Q33))</f>
        <v/>
      </c>
      <c r="S33" s="14" t="n"/>
      <c r="T33" s="15" t="n"/>
    </row>
  </sheetData>
  <mergeCells count="2">
    <mergeCell ref="A1:T1"/>
    <mergeCell ref="A2:T2"/>
  </mergeCells>
  <dataValidations count="1">
    <dataValidation sqref="S4:S33" showDropDown="0" showInputMessage="0" showErrorMessage="0" allowBlank="1" errorTitle="Valeur non prevue" error="Choisissez une valeur dans la liste." type="list">
      <formula1>'13_Listes'!$G$4:$G$9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7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1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9" customWidth="1" min="17" max="17"/>
    <col width="8" customWidth="1" min="18" max="18"/>
  </cols>
  <sheetData>
    <row r="1" ht="24" customHeight="1">
      <c r="A1" s="1" t="inlineStr">
        <is>
          <t>PASSEPORT MACHINE  -  LES 12 GESTES</t>
        </is>
      </c>
    </row>
    <row r="2">
      <c r="A2" s="6" t="inlineStr">
        <is>
          <t>Remplace le livret papier. Validation ORALE pendant l'atelier ('montre-moi'), cochee le soir. Le geste 12 est un objectif de FIN de parcours, travaille 5 min chaque samedi.</t>
        </is>
      </c>
    </row>
    <row r="3" ht="30" customHeight="1">
      <c r="A3" s="7" t="inlineStr">
        <is>
          <t>N°</t>
        </is>
      </c>
      <c r="B3" s="7" t="inlineStr">
        <is>
          <t>NOM</t>
        </is>
      </c>
      <c r="C3" s="7" t="inlineStr">
        <is>
          <t>Prenom</t>
        </is>
      </c>
      <c r="D3" s="7" t="inlineStr">
        <is>
          <t>Classe</t>
        </is>
      </c>
      <c r="E3" s="7" t="inlineStr">
        <is>
          <t>G1</t>
        </is>
      </c>
      <c r="F3" s="7" t="inlineStr">
        <is>
          <t>G2</t>
        </is>
      </c>
      <c r="G3" s="7" t="inlineStr">
        <is>
          <t>G3</t>
        </is>
      </c>
      <c r="H3" s="7" t="inlineStr">
        <is>
          <t>G4</t>
        </is>
      </c>
      <c r="I3" s="7" t="inlineStr">
        <is>
          <t>G5</t>
        </is>
      </c>
      <c r="J3" s="7" t="inlineStr">
        <is>
          <t>G6</t>
        </is>
      </c>
      <c r="K3" s="7" t="inlineStr">
        <is>
          <t>G7</t>
        </is>
      </c>
      <c r="L3" s="7" t="inlineStr">
        <is>
          <t>G8</t>
        </is>
      </c>
      <c r="M3" s="7" t="inlineStr">
        <is>
          <t>G9</t>
        </is>
      </c>
      <c r="N3" s="7" t="inlineStr">
        <is>
          <t>G10</t>
        </is>
      </c>
      <c r="O3" s="7" t="inlineStr">
        <is>
          <t>G11</t>
        </is>
      </c>
      <c r="P3" s="7" t="inlineStr">
        <is>
          <t>G12</t>
        </is>
      </c>
      <c r="Q3" s="7" t="inlineStr">
        <is>
          <t>Acquis</t>
        </is>
      </c>
      <c r="R3" s="7" t="inlineStr">
        <is>
          <t>%</t>
        </is>
      </c>
    </row>
    <row r="4">
      <c r="A4" s="13" t="n">
        <v>1</v>
      </c>
      <c r="B4" s="11">
        <f>IF('01_Apprenants'!B4="","",'01_Apprenants'!B4)</f>
        <v/>
      </c>
      <c r="C4" s="11">
        <f>IF('01_Apprenants'!C4="","",'01_Apprenants'!C4)</f>
        <v/>
      </c>
      <c r="D4" s="11">
        <f>IF('01_Apprenants'!D4="","",'01_Apprenants'!D4)</f>
        <v/>
      </c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1">
        <f>IF('01_Apprenants'!B4="","",COUNTIF(E4:P4,"V"))</f>
        <v/>
      </c>
      <c r="R4" s="19">
        <f>IF(Q4="","",Q4/12)</f>
        <v/>
      </c>
    </row>
    <row r="5">
      <c r="A5" s="13" t="n">
        <v>2</v>
      </c>
      <c r="B5" s="11">
        <f>IF('01_Apprenants'!B5="","",'01_Apprenants'!B5)</f>
        <v/>
      </c>
      <c r="C5" s="11">
        <f>IF('01_Apprenants'!C5="","",'01_Apprenants'!C5)</f>
        <v/>
      </c>
      <c r="D5" s="11">
        <f>IF('01_Apprenants'!D5="","",'01_Apprenants'!D5)</f>
        <v/>
      </c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1">
        <f>IF('01_Apprenants'!B5="","",COUNTIF(E5:P5,"V"))</f>
        <v/>
      </c>
      <c r="R5" s="19">
        <f>IF(Q5="","",Q5/12)</f>
        <v/>
      </c>
    </row>
    <row r="6">
      <c r="A6" s="13" t="n">
        <v>3</v>
      </c>
      <c r="B6" s="11">
        <f>IF('01_Apprenants'!B6="","",'01_Apprenants'!B6)</f>
        <v/>
      </c>
      <c r="C6" s="11">
        <f>IF('01_Apprenants'!C6="","",'01_Apprenants'!C6)</f>
        <v/>
      </c>
      <c r="D6" s="11">
        <f>IF('01_Apprenants'!D6="","",'01_Apprenants'!D6)</f>
        <v/>
      </c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1">
        <f>IF('01_Apprenants'!B6="","",COUNTIF(E6:P6,"V"))</f>
        <v/>
      </c>
      <c r="R6" s="19">
        <f>IF(Q6="","",Q6/12)</f>
        <v/>
      </c>
    </row>
    <row r="7">
      <c r="A7" s="13" t="n">
        <v>4</v>
      </c>
      <c r="B7" s="11">
        <f>IF('01_Apprenants'!B7="","",'01_Apprenants'!B7)</f>
        <v/>
      </c>
      <c r="C7" s="11">
        <f>IF('01_Apprenants'!C7="","",'01_Apprenants'!C7)</f>
        <v/>
      </c>
      <c r="D7" s="11">
        <f>IF('01_Apprenants'!D7="","",'01_Apprenants'!D7)</f>
        <v/>
      </c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1">
        <f>IF('01_Apprenants'!B7="","",COUNTIF(E7:P7,"V"))</f>
        <v/>
      </c>
      <c r="R7" s="19">
        <f>IF(Q7="","",Q7/12)</f>
        <v/>
      </c>
    </row>
    <row r="8">
      <c r="A8" s="13" t="n">
        <v>5</v>
      </c>
      <c r="B8" s="11">
        <f>IF('01_Apprenants'!B8="","",'01_Apprenants'!B8)</f>
        <v/>
      </c>
      <c r="C8" s="11">
        <f>IF('01_Apprenants'!C8="","",'01_Apprenants'!C8)</f>
        <v/>
      </c>
      <c r="D8" s="11">
        <f>IF('01_Apprenants'!D8="","",'01_Apprenants'!D8)</f>
        <v/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1">
        <f>IF('01_Apprenants'!B8="","",COUNTIF(E8:P8,"V"))</f>
        <v/>
      </c>
      <c r="R8" s="19">
        <f>IF(Q8="","",Q8/12)</f>
        <v/>
      </c>
    </row>
    <row r="9">
      <c r="A9" s="13" t="n">
        <v>6</v>
      </c>
      <c r="B9" s="11">
        <f>IF('01_Apprenants'!B9="","",'01_Apprenants'!B9)</f>
        <v/>
      </c>
      <c r="C9" s="11">
        <f>IF('01_Apprenants'!C9="","",'01_Apprenants'!C9)</f>
        <v/>
      </c>
      <c r="D9" s="11">
        <f>IF('01_Apprenants'!D9="","",'01_Apprenants'!D9)</f>
        <v/>
      </c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1">
        <f>IF('01_Apprenants'!B9="","",COUNTIF(E9:P9,"V"))</f>
        <v/>
      </c>
      <c r="R9" s="19">
        <f>IF(Q9="","",Q9/12)</f>
        <v/>
      </c>
    </row>
    <row r="10">
      <c r="A10" s="13" t="n">
        <v>7</v>
      </c>
      <c r="B10" s="11">
        <f>IF('01_Apprenants'!B10="","",'01_Apprenants'!B10)</f>
        <v/>
      </c>
      <c r="C10" s="11">
        <f>IF('01_Apprenants'!C10="","",'01_Apprenants'!C10)</f>
        <v/>
      </c>
      <c r="D10" s="11">
        <f>IF('01_Apprenants'!D10="","",'01_Apprenants'!D10)</f>
        <v/>
      </c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1">
        <f>IF('01_Apprenants'!B10="","",COUNTIF(E10:P10,"V"))</f>
        <v/>
      </c>
      <c r="R10" s="19">
        <f>IF(Q10="","",Q10/12)</f>
        <v/>
      </c>
    </row>
    <row r="11">
      <c r="A11" s="13" t="n">
        <v>8</v>
      </c>
      <c r="B11" s="11">
        <f>IF('01_Apprenants'!B11="","",'01_Apprenants'!B11)</f>
        <v/>
      </c>
      <c r="C11" s="11">
        <f>IF('01_Apprenants'!C11="","",'01_Apprenants'!C11)</f>
        <v/>
      </c>
      <c r="D11" s="11">
        <f>IF('01_Apprenants'!D11="","",'01_Apprenants'!D11)</f>
        <v/>
      </c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1">
        <f>IF('01_Apprenants'!B11="","",COUNTIF(E11:P11,"V"))</f>
        <v/>
      </c>
      <c r="R11" s="19">
        <f>IF(Q11="","",Q11/12)</f>
        <v/>
      </c>
    </row>
    <row r="12">
      <c r="A12" s="13" t="n">
        <v>9</v>
      </c>
      <c r="B12" s="11">
        <f>IF('01_Apprenants'!B12="","",'01_Apprenants'!B12)</f>
        <v/>
      </c>
      <c r="C12" s="11">
        <f>IF('01_Apprenants'!C12="","",'01_Apprenants'!C12)</f>
        <v/>
      </c>
      <c r="D12" s="11">
        <f>IF('01_Apprenants'!D12="","",'01_Apprenants'!D12)</f>
        <v/>
      </c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1">
        <f>IF('01_Apprenants'!B12="","",COUNTIF(E12:P12,"V"))</f>
        <v/>
      </c>
      <c r="R12" s="19">
        <f>IF(Q12="","",Q12/12)</f>
        <v/>
      </c>
    </row>
    <row r="13">
      <c r="A13" s="13" t="n">
        <v>10</v>
      </c>
      <c r="B13" s="11">
        <f>IF('01_Apprenants'!B13="","",'01_Apprenants'!B13)</f>
        <v/>
      </c>
      <c r="C13" s="11">
        <f>IF('01_Apprenants'!C13="","",'01_Apprenants'!C13)</f>
        <v/>
      </c>
      <c r="D13" s="11">
        <f>IF('01_Apprenants'!D13="","",'01_Apprenants'!D13)</f>
        <v/>
      </c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1">
        <f>IF('01_Apprenants'!B13="","",COUNTIF(E13:P13,"V"))</f>
        <v/>
      </c>
      <c r="R13" s="19">
        <f>IF(Q13="","",Q13/12)</f>
        <v/>
      </c>
    </row>
    <row r="14">
      <c r="A14" s="13" t="n">
        <v>11</v>
      </c>
      <c r="B14" s="11">
        <f>IF('01_Apprenants'!B14="","",'01_Apprenants'!B14)</f>
        <v/>
      </c>
      <c r="C14" s="11">
        <f>IF('01_Apprenants'!C14="","",'01_Apprenants'!C14)</f>
        <v/>
      </c>
      <c r="D14" s="11">
        <f>IF('01_Apprenants'!D14="","",'01_Apprenants'!D14)</f>
        <v/>
      </c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1">
        <f>IF('01_Apprenants'!B14="","",COUNTIF(E14:P14,"V"))</f>
        <v/>
      </c>
      <c r="R14" s="19">
        <f>IF(Q14="","",Q14/12)</f>
        <v/>
      </c>
    </row>
    <row r="15">
      <c r="A15" s="13" t="n">
        <v>12</v>
      </c>
      <c r="B15" s="11">
        <f>IF('01_Apprenants'!B15="","",'01_Apprenants'!B15)</f>
        <v/>
      </c>
      <c r="C15" s="11">
        <f>IF('01_Apprenants'!C15="","",'01_Apprenants'!C15)</f>
        <v/>
      </c>
      <c r="D15" s="11">
        <f>IF('01_Apprenants'!D15="","",'01_Apprenants'!D15)</f>
        <v/>
      </c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1">
        <f>IF('01_Apprenants'!B15="","",COUNTIF(E15:P15,"V"))</f>
        <v/>
      </c>
      <c r="R15" s="19">
        <f>IF(Q15="","",Q15/12)</f>
        <v/>
      </c>
    </row>
    <row r="16">
      <c r="A16" s="13" t="n">
        <v>13</v>
      </c>
      <c r="B16" s="11">
        <f>IF('01_Apprenants'!B16="","",'01_Apprenants'!B16)</f>
        <v/>
      </c>
      <c r="C16" s="11">
        <f>IF('01_Apprenants'!C16="","",'01_Apprenants'!C16)</f>
        <v/>
      </c>
      <c r="D16" s="11">
        <f>IF('01_Apprenants'!D16="","",'01_Apprenants'!D16)</f>
        <v/>
      </c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1">
        <f>IF('01_Apprenants'!B16="","",COUNTIF(E16:P16,"V"))</f>
        <v/>
      </c>
      <c r="R16" s="19">
        <f>IF(Q16="","",Q16/12)</f>
        <v/>
      </c>
    </row>
    <row r="17">
      <c r="A17" s="13" t="n">
        <v>14</v>
      </c>
      <c r="B17" s="11">
        <f>IF('01_Apprenants'!B17="","",'01_Apprenants'!B17)</f>
        <v/>
      </c>
      <c r="C17" s="11">
        <f>IF('01_Apprenants'!C17="","",'01_Apprenants'!C17)</f>
        <v/>
      </c>
      <c r="D17" s="11">
        <f>IF('01_Apprenants'!D17="","",'01_Apprenants'!D17)</f>
        <v/>
      </c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1">
        <f>IF('01_Apprenants'!B17="","",COUNTIF(E17:P17,"V"))</f>
        <v/>
      </c>
      <c r="R17" s="19">
        <f>IF(Q17="","",Q17/12)</f>
        <v/>
      </c>
    </row>
    <row r="18">
      <c r="A18" s="13" t="n">
        <v>15</v>
      </c>
      <c r="B18" s="11">
        <f>IF('01_Apprenants'!B18="","",'01_Apprenants'!B18)</f>
        <v/>
      </c>
      <c r="C18" s="11">
        <f>IF('01_Apprenants'!C18="","",'01_Apprenants'!C18)</f>
        <v/>
      </c>
      <c r="D18" s="11">
        <f>IF('01_Apprenants'!D18="","",'01_Apprenants'!D18)</f>
        <v/>
      </c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1">
        <f>IF('01_Apprenants'!B18="","",COUNTIF(E18:P18,"V"))</f>
        <v/>
      </c>
      <c r="R18" s="19">
        <f>IF(Q18="","",Q18/12)</f>
        <v/>
      </c>
    </row>
    <row r="19">
      <c r="A19" s="13" t="n">
        <v>16</v>
      </c>
      <c r="B19" s="11">
        <f>IF('01_Apprenants'!B19="","",'01_Apprenants'!B19)</f>
        <v/>
      </c>
      <c r="C19" s="11">
        <f>IF('01_Apprenants'!C19="","",'01_Apprenants'!C19)</f>
        <v/>
      </c>
      <c r="D19" s="11">
        <f>IF('01_Apprenants'!D19="","",'01_Apprenants'!D19)</f>
        <v/>
      </c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1">
        <f>IF('01_Apprenants'!B19="","",COUNTIF(E19:P19,"V"))</f>
        <v/>
      </c>
      <c r="R19" s="19">
        <f>IF(Q19="","",Q19/12)</f>
        <v/>
      </c>
    </row>
    <row r="20">
      <c r="A20" s="13" t="n">
        <v>17</v>
      </c>
      <c r="B20" s="11">
        <f>IF('01_Apprenants'!B20="","",'01_Apprenants'!B20)</f>
        <v/>
      </c>
      <c r="C20" s="11">
        <f>IF('01_Apprenants'!C20="","",'01_Apprenants'!C20)</f>
        <v/>
      </c>
      <c r="D20" s="11">
        <f>IF('01_Apprenants'!D20="","",'01_Apprenants'!D20)</f>
        <v/>
      </c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1">
        <f>IF('01_Apprenants'!B20="","",COUNTIF(E20:P20,"V"))</f>
        <v/>
      </c>
      <c r="R20" s="19">
        <f>IF(Q20="","",Q20/12)</f>
        <v/>
      </c>
    </row>
    <row r="21">
      <c r="A21" s="13" t="n">
        <v>18</v>
      </c>
      <c r="B21" s="11">
        <f>IF('01_Apprenants'!B21="","",'01_Apprenants'!B21)</f>
        <v/>
      </c>
      <c r="C21" s="11">
        <f>IF('01_Apprenants'!C21="","",'01_Apprenants'!C21)</f>
        <v/>
      </c>
      <c r="D21" s="11">
        <f>IF('01_Apprenants'!D21="","",'01_Apprenants'!D21)</f>
        <v/>
      </c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1">
        <f>IF('01_Apprenants'!B21="","",COUNTIF(E21:P21,"V"))</f>
        <v/>
      </c>
      <c r="R21" s="19">
        <f>IF(Q21="","",Q21/12)</f>
        <v/>
      </c>
    </row>
    <row r="22">
      <c r="A22" s="13" t="n">
        <v>19</v>
      </c>
      <c r="B22" s="11">
        <f>IF('01_Apprenants'!B22="","",'01_Apprenants'!B22)</f>
        <v/>
      </c>
      <c r="C22" s="11">
        <f>IF('01_Apprenants'!C22="","",'01_Apprenants'!C22)</f>
        <v/>
      </c>
      <c r="D22" s="11">
        <f>IF('01_Apprenants'!D22="","",'01_Apprenants'!D22)</f>
        <v/>
      </c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1">
        <f>IF('01_Apprenants'!B22="","",COUNTIF(E22:P22,"V"))</f>
        <v/>
      </c>
      <c r="R22" s="19">
        <f>IF(Q22="","",Q22/12)</f>
        <v/>
      </c>
    </row>
    <row r="23">
      <c r="A23" s="13" t="n">
        <v>20</v>
      </c>
      <c r="B23" s="11">
        <f>IF('01_Apprenants'!B23="","",'01_Apprenants'!B23)</f>
        <v/>
      </c>
      <c r="C23" s="11">
        <f>IF('01_Apprenants'!C23="","",'01_Apprenants'!C23)</f>
        <v/>
      </c>
      <c r="D23" s="11">
        <f>IF('01_Apprenants'!D23="","",'01_Apprenants'!D23)</f>
        <v/>
      </c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1">
        <f>IF('01_Apprenants'!B23="","",COUNTIF(E23:P23,"V"))</f>
        <v/>
      </c>
      <c r="R23" s="19">
        <f>IF(Q23="","",Q23/12)</f>
        <v/>
      </c>
    </row>
    <row r="24">
      <c r="A24" s="13" t="n">
        <v>21</v>
      </c>
      <c r="B24" s="11">
        <f>IF('01_Apprenants'!B24="","",'01_Apprenants'!B24)</f>
        <v/>
      </c>
      <c r="C24" s="11">
        <f>IF('01_Apprenants'!C24="","",'01_Apprenants'!C24)</f>
        <v/>
      </c>
      <c r="D24" s="11">
        <f>IF('01_Apprenants'!D24="","",'01_Apprenants'!D24)</f>
        <v/>
      </c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1">
        <f>IF('01_Apprenants'!B24="","",COUNTIF(E24:P24,"V"))</f>
        <v/>
      </c>
      <c r="R24" s="19">
        <f>IF(Q24="","",Q24/12)</f>
        <v/>
      </c>
    </row>
    <row r="25">
      <c r="A25" s="13" t="n">
        <v>22</v>
      </c>
      <c r="B25" s="11">
        <f>IF('01_Apprenants'!B25="","",'01_Apprenants'!B25)</f>
        <v/>
      </c>
      <c r="C25" s="11">
        <f>IF('01_Apprenants'!C25="","",'01_Apprenants'!C25)</f>
        <v/>
      </c>
      <c r="D25" s="11">
        <f>IF('01_Apprenants'!D25="","",'01_Apprenants'!D25)</f>
        <v/>
      </c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1">
        <f>IF('01_Apprenants'!B25="","",COUNTIF(E25:P25,"V"))</f>
        <v/>
      </c>
      <c r="R25" s="19">
        <f>IF(Q25="","",Q25/12)</f>
        <v/>
      </c>
    </row>
    <row r="26">
      <c r="A26" s="13" t="n">
        <v>23</v>
      </c>
      <c r="B26" s="11">
        <f>IF('01_Apprenants'!B26="","",'01_Apprenants'!B26)</f>
        <v/>
      </c>
      <c r="C26" s="11">
        <f>IF('01_Apprenants'!C26="","",'01_Apprenants'!C26)</f>
        <v/>
      </c>
      <c r="D26" s="11">
        <f>IF('01_Apprenants'!D26="","",'01_Apprenants'!D26)</f>
        <v/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1">
        <f>IF('01_Apprenants'!B26="","",COUNTIF(E26:P26,"V"))</f>
        <v/>
      </c>
      <c r="R26" s="19">
        <f>IF(Q26="","",Q26/12)</f>
        <v/>
      </c>
    </row>
    <row r="27">
      <c r="A27" s="13" t="n">
        <v>24</v>
      </c>
      <c r="B27" s="11">
        <f>IF('01_Apprenants'!B27="","",'01_Apprenants'!B27)</f>
        <v/>
      </c>
      <c r="C27" s="11">
        <f>IF('01_Apprenants'!C27="","",'01_Apprenants'!C27)</f>
        <v/>
      </c>
      <c r="D27" s="11">
        <f>IF('01_Apprenants'!D27="","",'01_Apprenants'!D27)</f>
        <v/>
      </c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1">
        <f>IF('01_Apprenants'!B27="","",COUNTIF(E27:P27,"V"))</f>
        <v/>
      </c>
      <c r="R27" s="19">
        <f>IF(Q27="","",Q27/12)</f>
        <v/>
      </c>
    </row>
    <row r="28">
      <c r="A28" s="13" t="n">
        <v>25</v>
      </c>
      <c r="B28" s="11">
        <f>IF('01_Apprenants'!B28="","",'01_Apprenants'!B28)</f>
        <v/>
      </c>
      <c r="C28" s="11">
        <f>IF('01_Apprenants'!C28="","",'01_Apprenants'!C28)</f>
        <v/>
      </c>
      <c r="D28" s="11">
        <f>IF('01_Apprenants'!D28="","",'01_Apprenants'!D28)</f>
        <v/>
      </c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1">
        <f>IF('01_Apprenants'!B28="","",COUNTIF(E28:P28,"V"))</f>
        <v/>
      </c>
      <c r="R28" s="19">
        <f>IF(Q28="","",Q28/12)</f>
        <v/>
      </c>
    </row>
    <row r="29">
      <c r="A29" s="13" t="n">
        <v>26</v>
      </c>
      <c r="B29" s="11">
        <f>IF('01_Apprenants'!B29="","",'01_Apprenants'!B29)</f>
        <v/>
      </c>
      <c r="C29" s="11">
        <f>IF('01_Apprenants'!C29="","",'01_Apprenants'!C29)</f>
        <v/>
      </c>
      <c r="D29" s="11">
        <f>IF('01_Apprenants'!D29="","",'01_Apprenants'!D29)</f>
        <v/>
      </c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1">
        <f>IF('01_Apprenants'!B29="","",COUNTIF(E29:P29,"V"))</f>
        <v/>
      </c>
      <c r="R29" s="19">
        <f>IF(Q29="","",Q29/12)</f>
        <v/>
      </c>
    </row>
    <row r="30">
      <c r="A30" s="13" t="n">
        <v>27</v>
      </c>
      <c r="B30" s="11">
        <f>IF('01_Apprenants'!B30="","",'01_Apprenants'!B30)</f>
        <v/>
      </c>
      <c r="C30" s="11">
        <f>IF('01_Apprenants'!C30="","",'01_Apprenants'!C30)</f>
        <v/>
      </c>
      <c r="D30" s="11">
        <f>IF('01_Apprenants'!D30="","",'01_Apprenants'!D30)</f>
        <v/>
      </c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1">
        <f>IF('01_Apprenants'!B30="","",COUNTIF(E30:P30,"V"))</f>
        <v/>
      </c>
      <c r="R30" s="19">
        <f>IF(Q30="","",Q30/12)</f>
        <v/>
      </c>
    </row>
    <row r="31">
      <c r="A31" s="13" t="n">
        <v>28</v>
      </c>
      <c r="B31" s="11">
        <f>IF('01_Apprenants'!B31="","",'01_Apprenants'!B31)</f>
        <v/>
      </c>
      <c r="C31" s="11">
        <f>IF('01_Apprenants'!C31="","",'01_Apprenants'!C31)</f>
        <v/>
      </c>
      <c r="D31" s="11">
        <f>IF('01_Apprenants'!D31="","",'01_Apprenants'!D31)</f>
        <v/>
      </c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1">
        <f>IF('01_Apprenants'!B31="","",COUNTIF(E31:P31,"V"))</f>
        <v/>
      </c>
      <c r="R31" s="19">
        <f>IF(Q31="","",Q31/12)</f>
        <v/>
      </c>
    </row>
    <row r="32">
      <c r="A32" s="13" t="n">
        <v>29</v>
      </c>
      <c r="B32" s="11">
        <f>IF('01_Apprenants'!B32="","",'01_Apprenants'!B32)</f>
        <v/>
      </c>
      <c r="C32" s="11">
        <f>IF('01_Apprenants'!C32="","",'01_Apprenants'!C32)</f>
        <v/>
      </c>
      <c r="D32" s="11">
        <f>IF('01_Apprenants'!D32="","",'01_Apprenants'!D32)</f>
        <v/>
      </c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1">
        <f>IF('01_Apprenants'!B32="","",COUNTIF(E32:P32,"V"))</f>
        <v/>
      </c>
      <c r="R32" s="19">
        <f>IF(Q32="","",Q32/12)</f>
        <v/>
      </c>
    </row>
    <row r="33">
      <c r="A33" s="13" t="n">
        <v>30</v>
      </c>
      <c r="B33" s="11">
        <f>IF('01_Apprenants'!B33="","",'01_Apprenants'!B33)</f>
        <v/>
      </c>
      <c r="C33" s="11">
        <f>IF('01_Apprenants'!C33="","",'01_Apprenants'!C33)</f>
        <v/>
      </c>
      <c r="D33" s="11">
        <f>IF('01_Apprenants'!D33="","",'01_Apprenants'!D33)</f>
        <v/>
      </c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1">
        <f>IF('01_Apprenants'!B33="","",COUNTIF(E33:P33,"V"))</f>
        <v/>
      </c>
      <c r="R33" s="19">
        <f>IF(Q33="","",Q33/12)</f>
        <v/>
      </c>
    </row>
    <row r="35">
      <c r="A35" s="4" t="inlineStr">
        <is>
          <t>Legende des 12 gestes :</t>
        </is>
      </c>
    </row>
    <row r="36">
      <c r="A36" s="2" t="inlineStr">
        <is>
          <t>1 Allumer / eteindre</t>
        </is>
      </c>
    </row>
    <row r="37">
      <c r="A37" s="2" t="inlineStr">
        <is>
          <t>2 Souris : clic, double-clic, clic droit, glisser</t>
        </is>
      </c>
    </row>
    <row r="38">
      <c r="A38" s="2" t="inlineStr">
        <is>
          <t>3 Majuscule, accent, point, virgule</t>
        </is>
      </c>
    </row>
    <row r="39">
      <c r="A39" s="2" t="inlineStr">
        <is>
          <t>4 Touches speciales ( ) : _ #</t>
        </is>
      </c>
    </row>
    <row r="40">
      <c r="A40" s="2" t="inlineStr">
        <is>
          <t>5 Ouvrir / reduire / fermer une fenetre</t>
        </is>
      </c>
    </row>
    <row r="41">
      <c r="A41" s="2" t="inlineStr">
        <is>
          <t>6 Passer d'une fenetre a l'autre</t>
        </is>
      </c>
    </row>
    <row r="42">
      <c r="A42" s="2" t="inlineStr">
        <is>
          <t>7 Creer un dossier et le nommer</t>
        </is>
      </c>
    </row>
    <row r="43">
      <c r="A43" s="2" t="inlineStr">
        <is>
          <t>8 Enregistrer au bon endroit</t>
        </is>
      </c>
    </row>
    <row r="44">
      <c r="A44" s="2" t="inlineStr">
        <is>
          <t>9 Retrouver un fichier enregistre</t>
        </is>
      </c>
    </row>
    <row r="45">
      <c r="A45" s="2" t="inlineStr">
        <is>
          <t>10 Ouvrir Thonny et lancer un programme</t>
        </is>
      </c>
    </row>
    <row r="46">
      <c r="A46" s="2" t="inlineStr">
        <is>
          <t>11 Copier le projet depuis le dossier officiel</t>
        </is>
      </c>
    </row>
    <row r="47">
      <c r="A47" s="2" t="inlineStr">
        <is>
          <t>12 Taper 20 mots sans regarder ses doigts</t>
        </is>
      </c>
    </row>
  </sheetData>
  <mergeCells count="14">
    <mergeCell ref="A39:E39"/>
    <mergeCell ref="A43:E43"/>
    <mergeCell ref="A38:E38"/>
    <mergeCell ref="A2:R2"/>
    <mergeCell ref="A42:E42"/>
    <mergeCell ref="A41:E41"/>
    <mergeCell ref="A47:E47"/>
    <mergeCell ref="A45:E45"/>
    <mergeCell ref="A37:E37"/>
    <mergeCell ref="A1:R1"/>
    <mergeCell ref="A36:E36"/>
    <mergeCell ref="A46:E46"/>
    <mergeCell ref="A44:E44"/>
    <mergeCell ref="A40:E40"/>
  </mergeCells>
  <dataValidations count="1">
    <dataValidation sqref="E4:P33" showDropDown="0" showInputMessage="0" showErrorMessage="0" allowBlank="1" errorTitle="Valeur non prevue" error="Choisissez une valeur dans la liste." type="list">
      <formula1>"V"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2" customWidth="1" min="2" max="2"/>
    <col width="14" customWidth="1" min="3" max="3"/>
    <col width="12" customWidth="1" min="4" max="4"/>
    <col width="12" customWidth="1" min="5" max="5"/>
    <col width="30" customWidth="1" min="6" max="6"/>
  </cols>
  <sheetData>
    <row r="1" ht="24" customHeight="1">
      <c r="A1" s="1" t="inlineStr">
        <is>
          <t>CHECKLIST DE PREPARATION  -  SEANCE 1</t>
        </is>
      </c>
    </row>
    <row r="2">
      <c r="A2" s="6" t="inlineStr">
        <is>
          <t>Tout ce qui doit etre fait avant, pendant et apres la seance 1. Cochez au fur et a mesure. Le tableau de bord compte ce qui reste.</t>
        </is>
      </c>
    </row>
    <row r="3" ht="30" customHeight="1">
      <c r="A3" s="7" t="inlineStr">
        <is>
          <t>Quand</t>
        </is>
      </c>
      <c r="B3" s="7" t="inlineStr">
        <is>
          <t>Tache</t>
        </is>
      </c>
      <c r="C3" s="7" t="inlineStr">
        <is>
          <t>Responsable</t>
        </is>
      </c>
      <c r="D3" s="7" t="inlineStr">
        <is>
          <t>Fait ?</t>
        </is>
      </c>
      <c r="E3" s="7" t="inlineStr">
        <is>
          <t>Date</t>
        </is>
      </c>
      <c r="F3" s="7" t="inlineStr">
        <is>
          <t>Remarques</t>
        </is>
      </c>
    </row>
    <row r="4">
      <c r="A4" s="24" t="inlineStr">
        <is>
          <t>J-7</t>
        </is>
      </c>
      <c r="B4" s="25" t="inlineStr">
        <is>
          <t>Coder le jeu XO termine et le tester sur la machine de demo (c'est le WOW : sans lui, la seance perd son moteur)</t>
        </is>
      </c>
      <c r="C4" s="13" t="inlineStr">
        <is>
          <t>Capitaine</t>
        </is>
      </c>
      <c r="D4" s="14" t="inlineStr">
        <is>
          <t>A faire</t>
        </is>
      </c>
      <c r="E4" s="15" t="n"/>
      <c r="F4" s="14" t="n"/>
    </row>
    <row r="5">
      <c r="A5" s="24" t="inlineStr">
        <is>
          <t>J-7</t>
        </is>
      </c>
      <c r="B5" s="25" t="inlineStr">
        <is>
          <t>Installer Python + Thonny sur TOUTES les machines, meme version</t>
        </is>
      </c>
      <c r="C5" s="13" t="inlineStr">
        <is>
          <t>Les deux</t>
        </is>
      </c>
      <c r="D5" s="14" t="inlineStr">
        <is>
          <t>A faire</t>
        </is>
      </c>
      <c r="E5" s="15" t="n"/>
      <c r="F5" s="14" t="n"/>
    </row>
    <row r="6">
      <c r="A6" s="24" t="inlineStr">
        <is>
          <t>J-7</t>
        </is>
      </c>
      <c r="B6" s="25" t="inlineStr">
        <is>
          <t>Lancer un programme sur CHAQUE poste pour verifier (lancer 4-outils/verifier_un_poste.py)</t>
        </is>
      </c>
      <c r="C6" s="13" t="inlineStr">
        <is>
          <t>Les deux</t>
        </is>
      </c>
      <c r="D6" s="14" t="inlineStr">
        <is>
          <t>A faire</t>
        </is>
      </c>
      <c r="E6" s="15" t="n"/>
      <c r="F6" s="14" t="n"/>
    </row>
    <row r="7">
      <c r="A7" s="24" t="inlineStr">
        <is>
          <t>J-7</t>
        </is>
      </c>
      <c r="B7" s="25" t="inlineStr">
        <is>
          <t>Creer le dossier GEEKS sur le Bureau de chaque poste (4-outils/installer_dossier_geeks.py)</t>
        </is>
      </c>
      <c r="C7" s="13" t="inlineStr">
        <is>
          <t>Mecanicien</t>
        </is>
      </c>
      <c r="D7" s="14" t="inlineStr">
        <is>
          <t>A faire</t>
        </is>
      </c>
      <c r="E7" s="15" t="n"/>
      <c r="F7" s="14" t="n"/>
    </row>
    <row r="8">
      <c r="A8" s="24" t="inlineStr">
        <is>
          <t>J-7</t>
        </is>
      </c>
      <c r="B8" s="25" t="inlineStr">
        <is>
          <t>Regler la police de Thonny en taille 18 sur tous les postes et sur la machine de projection</t>
        </is>
      </c>
      <c r="C8" s="13" t="inlineStr">
        <is>
          <t>Mecanicien</t>
        </is>
      </c>
      <c r="D8" s="14" t="inlineStr">
        <is>
          <t>A faire</t>
        </is>
      </c>
      <c r="E8" s="15" t="n"/>
      <c r="F8" s="14" t="n"/>
    </row>
    <row r="9">
      <c r="A9" s="24" t="inlineStr">
        <is>
          <t>J-7</t>
        </is>
      </c>
      <c r="B9" s="25" t="inlineStr">
        <is>
          <t>Preparer la cle USB maitresse (4-outils/preparer_cle_usb.py)</t>
        </is>
      </c>
      <c r="C9" s="13" t="inlineStr">
        <is>
          <t>Capitaine</t>
        </is>
      </c>
      <c r="D9" s="14" t="inlineStr">
        <is>
          <t>A faire</t>
        </is>
      </c>
      <c r="E9" s="15" t="n"/>
      <c r="F9" s="14" t="n"/>
    </row>
    <row r="10">
      <c r="A10" s="24" t="inlineStr">
        <is>
          <t>J-7</t>
        </is>
      </c>
      <c r="B10" s="25" t="inlineStr">
        <is>
          <t>Verifier le videoprojecteur AVEC le cable et la machine du jour</t>
        </is>
      </c>
      <c r="C10" s="13" t="inlineStr">
        <is>
          <t>Capitaine</t>
        </is>
      </c>
      <c r="D10" s="14" t="inlineStr">
        <is>
          <t>A faire</t>
        </is>
      </c>
      <c r="E10" s="15" t="n"/>
      <c r="F10" s="14" t="n"/>
    </row>
    <row r="11">
      <c r="A11" s="24" t="inlineStr">
        <is>
          <t>J-7</t>
        </is>
      </c>
      <c r="B11" s="25" t="inlineStr">
        <is>
          <t>Reserver la salle 30 min avant (Sas Permis Machine)</t>
        </is>
      </c>
      <c r="C11" s="13" t="inlineStr">
        <is>
          <t>Les deux</t>
        </is>
      </c>
      <c r="D11" s="14" t="inlineStr">
        <is>
          <t>A faire</t>
        </is>
      </c>
      <c r="E11" s="15" t="n"/>
      <c r="F11" s="14" t="n"/>
    </row>
    <row r="12">
      <c r="A12" s="26" t="inlineStr">
        <is>
          <t>J-1</t>
        </is>
      </c>
      <c r="B12" s="25" t="inlineStr">
        <is>
          <t>Imprimer 01 - Cartes de signalisation (1 page par binome, papier epais)</t>
        </is>
      </c>
      <c r="C12" s="13" t="inlineStr">
        <is>
          <t>Mecanicien</t>
        </is>
      </c>
      <c r="D12" s="14" t="inlineStr">
        <is>
          <t>A faire</t>
        </is>
      </c>
      <c r="E12" s="15" t="n"/>
      <c r="F12" s="14" t="n"/>
    </row>
    <row r="13">
      <c r="A13" s="26" t="inlineStr">
        <is>
          <t>J-1</t>
        </is>
      </c>
      <c r="B13" s="25" t="inlineStr">
        <is>
          <t>Imprimer 02 - Affiche 3 avant moi (A3)</t>
        </is>
      </c>
      <c r="C13" s="13" t="inlineStr">
        <is>
          <t>Mecanicien</t>
        </is>
      </c>
      <c r="D13" s="14" t="inlineStr">
        <is>
          <t>A faire</t>
        </is>
      </c>
      <c r="E13" s="15" t="n"/>
      <c r="F13" s="14" t="n"/>
    </row>
    <row r="14">
      <c r="A14" s="26" t="inlineStr">
        <is>
          <t>J-1</t>
        </is>
      </c>
      <c r="B14" s="25" t="inlineStr">
        <is>
          <t>Imprimer 03 - Affiche Contrat des Geeks (A3)</t>
        </is>
      </c>
      <c r="C14" s="13" t="inlineStr">
        <is>
          <t>Mecanicien</t>
        </is>
      </c>
      <c r="D14" s="14" t="inlineStr">
        <is>
          <t>A faire</t>
        </is>
      </c>
      <c r="E14" s="15" t="n"/>
      <c r="F14" s="14" t="n"/>
    </row>
    <row r="15">
      <c r="A15" s="26" t="inlineStr">
        <is>
          <t>J-1</t>
        </is>
      </c>
      <c r="B15" s="25" t="inlineStr">
        <is>
          <t>Imprimer 04 - Affiche Dictionnaire des erreurs (A3)</t>
        </is>
      </c>
      <c r="C15" s="13" t="inlineStr">
        <is>
          <t>Mecanicien</t>
        </is>
      </c>
      <c r="D15" s="14" t="inlineStr">
        <is>
          <t>A faire</t>
        </is>
      </c>
      <c r="E15" s="15" t="n"/>
      <c r="F15" s="14" t="n"/>
    </row>
    <row r="16">
      <c r="A16" s="26" t="inlineStr">
        <is>
          <t>J-1</t>
        </is>
      </c>
      <c r="B16" s="25" t="inlineStr">
        <is>
          <t>Imprimer 05 - Mur de Mission (A3 paysage)</t>
        </is>
      </c>
      <c r="C16" s="13" t="inlineStr">
        <is>
          <t>Mecanicien</t>
        </is>
      </c>
      <c r="D16" s="14" t="inlineStr">
        <is>
          <t>A faire</t>
        </is>
      </c>
      <c r="E16" s="15" t="n"/>
      <c r="F16" s="14" t="n"/>
    </row>
    <row r="17">
      <c r="A17" s="26" t="inlineStr">
        <is>
          <t>J-1</t>
        </is>
      </c>
      <c r="B17" s="25" t="inlineStr">
        <is>
          <t>Imprimer 06 - Fiche memo eleve (1 par binome)</t>
        </is>
      </c>
      <c r="C17" s="13" t="inlineStr">
        <is>
          <t>Mecanicien</t>
        </is>
      </c>
      <c r="D17" s="14" t="inlineStr">
        <is>
          <t>A faire</t>
        </is>
      </c>
      <c r="E17" s="15" t="n"/>
      <c r="F17" s="14" t="n"/>
    </row>
    <row r="18">
      <c r="A18" s="26" t="inlineStr">
        <is>
          <t>J-1</t>
        </is>
      </c>
      <c r="B18" s="25" t="inlineStr">
        <is>
          <t>Imprimer 07 - Cartes-missions station 1 (6 ex.)</t>
        </is>
      </c>
      <c r="C18" s="13" t="inlineStr">
        <is>
          <t>Capitaine</t>
        </is>
      </c>
      <c r="D18" s="14" t="inlineStr">
        <is>
          <t>A faire</t>
        </is>
      </c>
      <c r="E18" s="15" t="n"/>
      <c r="F18" s="14" t="n"/>
    </row>
    <row r="19">
      <c r="A19" s="26" t="inlineStr">
        <is>
          <t>J-1</t>
        </is>
      </c>
      <c r="B19" s="25" t="inlineStr">
        <is>
          <t>Imprimer 08 - Enigmes station 2 (6 ex., recto-verso)</t>
        </is>
      </c>
      <c r="C19" s="13" t="inlineStr">
        <is>
          <t>Capitaine</t>
        </is>
      </c>
      <c r="D19" s="14" t="inlineStr">
        <is>
          <t>A faire</t>
        </is>
      </c>
      <c r="E19" s="15" t="n"/>
      <c r="F19" s="14" t="n"/>
    </row>
    <row r="20">
      <c r="A20" s="26" t="inlineStr">
        <is>
          <t>J-1</t>
        </is>
      </c>
      <c r="B20" s="25" t="inlineStr">
        <is>
          <t>Imprimer 09 - Ma fiche de Geek (1 par eleve)</t>
        </is>
      </c>
      <c r="C20" s="13" t="inlineStr">
        <is>
          <t>Capitaine</t>
        </is>
      </c>
      <c r="D20" s="14" t="inlineStr">
        <is>
          <t>A faire</t>
        </is>
      </c>
      <c r="E20" s="15" t="n"/>
      <c r="F20" s="14" t="n"/>
    </row>
    <row r="21">
      <c r="A21" s="26" t="inlineStr">
        <is>
          <t>J-1</t>
        </is>
      </c>
      <c r="B21" s="25" t="inlineStr">
        <is>
          <t>Imprimer 10 - Grille d'observation + corriges (2 ex., A4 paysage, 3 pages)</t>
        </is>
      </c>
      <c r="C21" s="13" t="inlineStr">
        <is>
          <t>Capitaine</t>
        </is>
      </c>
      <c r="D21" s="14" t="inlineStr">
        <is>
          <t>A faire</t>
        </is>
      </c>
      <c r="E21" s="15" t="n"/>
      <c r="F21" s="14" t="n"/>
    </row>
    <row r="22">
      <c r="A22" s="26" t="inlineStr">
        <is>
          <t>J-1</t>
        </is>
      </c>
      <c r="B22" s="25" t="inlineStr">
        <is>
          <t>Imprimer 11 - Etiquettes prenoms (3 pages) et les decouper</t>
        </is>
      </c>
      <c r="C22" s="13" t="inlineStr">
        <is>
          <t>Mecanicien</t>
        </is>
      </c>
      <c r="D22" s="14" t="inlineStr">
        <is>
          <t>A faire</t>
        </is>
      </c>
      <c r="E22" s="15" t="n"/>
      <c r="F22" s="14" t="n"/>
    </row>
    <row r="23">
      <c r="A23" s="26" t="inlineStr">
        <is>
          <t>J-1</t>
        </is>
      </c>
      <c r="B23" s="25" t="inlineStr">
        <is>
          <t>Imprimer 12 - Affiche Aider sans faire a la place (2 ex.)</t>
        </is>
      </c>
      <c r="C23" s="13" t="inlineStr">
        <is>
          <t>Capitaine</t>
        </is>
      </c>
      <c r="D23" s="14" t="inlineStr">
        <is>
          <t>A faire</t>
        </is>
      </c>
      <c r="E23" s="15" t="n"/>
      <c r="F23" s="14" t="n"/>
    </row>
    <row r="24">
      <c r="A24" s="26" t="inlineStr">
        <is>
          <t>J-1</t>
        </is>
      </c>
      <c r="B24" s="25" t="inlineStr">
        <is>
          <t>Imprimer 13 - Cartes des pistes Rouge et Noire (1 par binome)</t>
        </is>
      </c>
      <c r="C24" s="13" t="inlineStr">
        <is>
          <t>Mecanicien</t>
        </is>
      </c>
      <c r="D24" s="14" t="inlineStr">
        <is>
          <t>A faire</t>
        </is>
      </c>
      <c r="E24" s="15" t="n"/>
      <c r="F24" s="14" t="n"/>
    </row>
    <row r="25">
      <c r="A25" s="26" t="inlineStr">
        <is>
          <t>J-1</t>
        </is>
      </c>
      <c r="B25" s="25" t="inlineStr">
        <is>
          <t>Imprimer MON-SCRIPT d'animation (14 pages A4, agrafe)</t>
        </is>
      </c>
      <c r="C25" s="13" t="inlineStr">
        <is>
          <t>Capitaine</t>
        </is>
      </c>
      <c r="D25" s="14" t="inlineStr">
        <is>
          <t>A faire</t>
        </is>
      </c>
      <c r="E25" s="15" t="n"/>
      <c r="F25" s="14" t="n"/>
    </row>
    <row r="26">
      <c r="A26" s="26" t="inlineStr">
        <is>
          <t>J-1</t>
        </is>
      </c>
      <c r="B26" s="25" t="inlineStr">
        <is>
          <t>Acheter / preparer : post-it (2 par eleve), feutres, gommettes-badges, ruban adhesif</t>
        </is>
      </c>
      <c r="C26" s="13" t="inlineStr">
        <is>
          <t>Mecanicien</t>
        </is>
      </c>
      <c r="D26" s="14" t="inlineStr">
        <is>
          <t>A faire</t>
        </is>
      </c>
      <c r="E26" s="15" t="n"/>
      <c r="F26" s="14" t="n"/>
    </row>
    <row r="27">
      <c r="A27" s="26" t="inlineStr">
        <is>
          <t>J-1</t>
        </is>
      </c>
      <c r="B27" s="25" t="inlineStr">
        <is>
          <t>Preparer la boite a post-it et le minuteur visible</t>
        </is>
      </c>
      <c r="C27" s="13" t="inlineStr">
        <is>
          <t>Mecanicien</t>
        </is>
      </c>
      <c r="D27" s="14" t="inlineStr">
        <is>
          <t>A faire</t>
        </is>
      </c>
      <c r="E27" s="15" t="n"/>
      <c r="F27" s="14" t="n"/>
    </row>
    <row r="28">
      <c r="A28" s="26" t="inlineStr">
        <is>
          <t>J-1</t>
        </is>
      </c>
      <c r="B28" s="25" t="inlineStr">
        <is>
          <t>Relire la fiche de seance en entier, a deux</t>
        </is>
      </c>
      <c r="C28" s="13" t="inlineStr">
        <is>
          <t>Les deux</t>
        </is>
      </c>
      <c r="D28" s="14" t="inlineStr">
        <is>
          <t>A faire</t>
        </is>
      </c>
      <c r="E28" s="15" t="n"/>
      <c r="F28" s="14" t="n"/>
    </row>
    <row r="29">
      <c r="A29" s="27" t="inlineStr">
        <is>
          <t>Jour J</t>
        </is>
      </c>
      <c r="B29" s="25" t="inlineStr">
        <is>
          <t>Arriver 30 min avant. Machines allumees, Thonny ouvert, dossier GEEKS visible</t>
        </is>
      </c>
      <c r="C29" s="13" t="inlineStr">
        <is>
          <t>Les deux</t>
        </is>
      </c>
      <c r="D29" s="14" t="inlineStr">
        <is>
          <t>A faire</t>
        </is>
      </c>
      <c r="E29" s="15" t="n"/>
      <c r="F29" s="14" t="n"/>
    </row>
    <row r="30">
      <c r="A30" s="27" t="inlineStr">
        <is>
          <t>Jour J</t>
        </is>
      </c>
      <c r="B30" s="25" t="inlineStr">
        <is>
          <t>Lancer le jeu fini et le REDUIRE (ne jamais chercher le fichier devant la classe)</t>
        </is>
      </c>
      <c r="C30" s="13" t="inlineStr">
        <is>
          <t>Capitaine</t>
        </is>
      </c>
      <c r="D30" s="14" t="inlineStr">
        <is>
          <t>A faire</t>
        </is>
      </c>
      <c r="E30" s="15" t="n"/>
      <c r="F30" s="14" t="n"/>
    </row>
    <row r="31">
      <c r="A31" s="27" t="inlineStr">
        <is>
          <t>Jour J</t>
        </is>
      </c>
      <c r="B31" s="25" t="inlineStr">
        <is>
          <t>Machine de reserve allumee au fond de la salle</t>
        </is>
      </c>
      <c r="C31" s="13" t="inlineStr">
        <is>
          <t>Mecanicien</t>
        </is>
      </c>
      <c r="D31" s="14" t="inlineStr">
        <is>
          <t>A faire</t>
        </is>
      </c>
      <c r="E31" s="15" t="n"/>
      <c r="F31" s="14" t="n"/>
    </row>
    <row r="32">
      <c r="A32" s="27" t="inlineStr">
        <is>
          <t>Jour J</t>
        </is>
      </c>
      <c r="B32" s="25" t="inlineStr">
        <is>
          <t>Afficher les 4 affiches + le Mur de Mission</t>
        </is>
      </c>
      <c r="C32" s="13" t="inlineStr">
        <is>
          <t>Mecanicien</t>
        </is>
      </c>
      <c r="D32" s="14" t="inlineStr">
        <is>
          <t>A faire</t>
        </is>
      </c>
      <c r="E32" s="15" t="n"/>
      <c r="F32" s="14" t="n"/>
    </row>
    <row r="33">
      <c r="A33" s="27" t="inlineStr">
        <is>
          <t>Jour J</t>
        </is>
      </c>
      <c r="B33" s="25" t="inlineStr">
        <is>
          <t>Poser sur chaque poste : fiche memo, 4 cartes, carte des pistes, 2 post-it par eleve</t>
        </is>
      </c>
      <c r="C33" s="13" t="inlineStr">
        <is>
          <t>Les deux</t>
        </is>
      </c>
      <c r="D33" s="14" t="inlineStr">
        <is>
          <t>A faire</t>
        </is>
      </c>
      <c r="E33" s="15" t="n"/>
      <c r="F33" s="14" t="n"/>
    </row>
    <row r="34">
      <c r="A34" s="27" t="inlineStr">
        <is>
          <t>Jour J</t>
        </is>
      </c>
      <c r="B34" s="25" t="inlineStr">
        <is>
          <t>Verifier que mon_xo/jeu.py est bien present et s'ouvre sur chaque poste</t>
        </is>
      </c>
      <c r="C34" s="13" t="inlineStr">
        <is>
          <t>Mecanicien</t>
        </is>
      </c>
      <c r="D34" s="14" t="inlineStr">
        <is>
          <t>A faire</t>
        </is>
      </c>
      <c r="E34" s="15" t="n"/>
      <c r="F34" s="14" t="n"/>
    </row>
    <row r="35">
      <c r="A35" s="27" t="inlineStr">
        <is>
          <t>Jour J</t>
        </is>
      </c>
      <c r="B35" s="25" t="inlineStr">
        <is>
          <t>Decider et dire a voix haute : qui est Capitaine, qui est Mecanicien</t>
        </is>
      </c>
      <c r="C35" s="13" t="inlineStr">
        <is>
          <t>Les deux</t>
        </is>
      </c>
      <c r="D35" s="14" t="inlineStr">
        <is>
          <t>A faire</t>
        </is>
      </c>
      <c r="E35" s="15" t="n"/>
      <c r="F35" s="14" t="n"/>
    </row>
    <row r="36">
      <c r="A36" s="27" t="inlineStr">
        <is>
          <t>Jour J</t>
        </is>
      </c>
      <c r="B36" s="25" t="inlineStr">
        <is>
          <t>Choisir le signal de silence et s'accorder dessus</t>
        </is>
      </c>
      <c r="C36" s="13" t="inlineStr">
        <is>
          <t>Les deux</t>
        </is>
      </c>
      <c r="D36" s="14" t="inlineStr">
        <is>
          <t>A faire</t>
        </is>
      </c>
      <c r="E36" s="15" t="n"/>
      <c r="F36" s="14" t="n"/>
    </row>
    <row r="37">
      <c r="A37" s="28" t="inlineStr">
        <is>
          <t>Pendant</t>
        </is>
      </c>
      <c r="B37" s="25" t="inlineStr">
        <is>
          <t>A 104 min : verifier qu'AUCUN ecran n'est reste vide. Priorite absolue.</t>
        </is>
      </c>
      <c r="C37" s="13" t="inlineStr">
        <is>
          <t>Les deux</t>
        </is>
      </c>
      <c r="D37" s="14" t="inlineStr">
        <is>
          <t>A faire</t>
        </is>
      </c>
      <c r="E37" s="15" t="n"/>
      <c r="F37" s="14" t="n"/>
    </row>
    <row r="38">
      <c r="A38" s="28" t="inlineStr">
        <is>
          <t>Pendant</t>
        </is>
      </c>
      <c r="B38" s="25" t="inlineStr">
        <is>
          <t>Sauvegarder le travail de chaque binome sur la cle (4-SAUVEGARDES-ELEVES/S01)</t>
        </is>
      </c>
      <c r="C38" s="13" t="inlineStr">
        <is>
          <t>Mecanicien</t>
        </is>
      </c>
      <c r="D38" s="14" t="inlineStr">
        <is>
          <t>A faire</t>
        </is>
      </c>
      <c r="E38" s="15" t="n"/>
      <c r="F38" s="14" t="n"/>
    </row>
    <row r="39">
      <c r="A39" s="28" t="inlineStr">
        <is>
          <t>Apres</t>
        </is>
      </c>
      <c r="B39" s="25" t="inlineStr">
        <is>
          <t>Finaliser le code officiel S01 et le copier sur la cle</t>
        </is>
      </c>
      <c r="C39" s="13" t="inlineStr">
        <is>
          <t>Capitaine</t>
        </is>
      </c>
      <c r="D39" s="14" t="inlineStr">
        <is>
          <t>A faire</t>
        </is>
      </c>
      <c r="E39" s="15" t="n"/>
      <c r="F39" s="14" t="n"/>
    </row>
    <row r="40">
      <c r="A40" s="28" t="inlineStr">
        <is>
          <t>Apres</t>
        </is>
      </c>
      <c r="B40" s="25" t="inlineStr">
        <is>
          <t>Remplir 03_Presence et 04_Suivi-seances</t>
        </is>
      </c>
      <c r="C40" s="13" t="inlineStr">
        <is>
          <t>Mecanicien</t>
        </is>
      </c>
      <c r="D40" s="14" t="inlineStr">
        <is>
          <t>A faire</t>
        </is>
      </c>
      <c r="E40" s="15" t="n"/>
      <c r="F40" s="14" t="n"/>
    </row>
    <row r="41">
      <c r="A41" s="28" t="inlineStr">
        <is>
          <t>Apres</t>
        </is>
      </c>
      <c r="B41" s="25" t="inlineStr">
        <is>
          <t>Saisir le diagnostic dans 02_Diagnostic</t>
        </is>
      </c>
      <c r="C41" s="13" t="inlineStr">
        <is>
          <t>Mecanicien</t>
        </is>
      </c>
      <c r="D41" s="14" t="inlineStr">
        <is>
          <t>A faire</t>
        </is>
      </c>
      <c r="E41" s="15" t="n"/>
      <c r="F41" s="14" t="n"/>
    </row>
    <row r="42">
      <c r="A42" s="28" t="inlineStr">
        <is>
          <t>Apres</t>
        </is>
      </c>
      <c r="B42" s="25" t="inlineStr">
        <is>
          <t>Trier les post-it en 2 tas et noter la difficulte la plus citee</t>
        </is>
      </c>
      <c r="C42" s="13" t="inlineStr">
        <is>
          <t>Les deux</t>
        </is>
      </c>
      <c r="D42" s="14" t="inlineStr">
        <is>
          <t>A faire</t>
        </is>
      </c>
      <c r="E42" s="15" t="n"/>
      <c r="F42" s="14" t="n"/>
    </row>
    <row r="43">
      <c r="A43" s="28" t="inlineStr">
        <is>
          <t>Apres</t>
        </is>
      </c>
      <c r="B43" s="25" t="inlineStr">
        <is>
          <t>Etablir la liste des 10 minutes pour la seance 2</t>
        </is>
      </c>
      <c r="C43" s="13" t="inlineStr">
        <is>
          <t>Les deux</t>
        </is>
      </c>
      <c r="D43" s="14" t="inlineStr">
        <is>
          <t>A faire</t>
        </is>
      </c>
      <c r="E43" s="15" t="n"/>
      <c r="F43" s="14" t="n"/>
    </row>
    <row r="44">
      <c r="A44" s="28" t="inlineStr">
        <is>
          <t>Apres</t>
        </is>
      </c>
      <c r="B44" s="25" t="inlineStr">
        <is>
          <t>Envoyer le message aux familles</t>
        </is>
      </c>
      <c r="C44" s="13" t="inlineStr">
        <is>
          <t>Capitaine</t>
        </is>
      </c>
      <c r="D44" s="14" t="inlineStr">
        <is>
          <t>A faire</t>
        </is>
      </c>
      <c r="E44" s="15" t="n"/>
      <c r="F44" s="14" t="n"/>
    </row>
    <row r="45">
      <c r="A45" s="28" t="inlineStr">
        <is>
          <t>Apres</t>
        </is>
      </c>
      <c r="B45" s="25" t="inlineStr">
        <is>
          <t>Repondre aux 3 questions de la revue (onglet 10)</t>
        </is>
      </c>
      <c r="C45" s="13" t="inlineStr">
        <is>
          <t>Les deux</t>
        </is>
      </c>
      <c r="D45" s="14" t="inlineStr">
        <is>
          <t>A faire</t>
        </is>
      </c>
      <c r="E45" s="15" t="n"/>
      <c r="F45" s="14" t="n"/>
    </row>
    <row r="46">
      <c r="A46" s="28" t="inlineStr">
        <is>
          <t>Apres</t>
        </is>
      </c>
      <c r="B46" s="25" t="inlineStr">
        <is>
          <t>Echanger les roles pour la seance 2</t>
        </is>
      </c>
      <c r="C46" s="13" t="inlineStr">
        <is>
          <t>Les deux</t>
        </is>
      </c>
      <c r="D46" s="14" t="inlineStr">
        <is>
          <t>A faire</t>
        </is>
      </c>
      <c r="E46" s="15" t="n"/>
      <c r="F46" s="14" t="n"/>
    </row>
  </sheetData>
  <mergeCells count="2">
    <mergeCell ref="A2:F2"/>
    <mergeCell ref="A1:F1"/>
  </mergeCells>
  <conditionalFormatting sqref="D4:D46">
    <cfRule type="cellIs" priority="1" operator="equal" dxfId="4">
      <formula>"Fait"</formula>
    </cfRule>
  </conditionalFormatting>
  <dataValidations count="1">
    <dataValidation sqref="D4:D46" showDropDown="0" showInputMessage="0" showErrorMessage="0" allowBlank="1" errorTitle="Valeur non prevue" error="Choisissez une valeur dans la liste." type="list">
      <formula1>'13_Listes'!$K$4:$K$6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5" customWidth="1" min="3" max="3"/>
    <col width="15" customWidth="1" min="4" max="4"/>
    <col width="10" customWidth="1" min="5" max="5"/>
    <col width="44" customWidth="1" min="6" max="6"/>
    <col width="44" customWidth="1" min="7" max="7"/>
    <col width="34" customWidth="1" min="8" max="8"/>
    <col width="28" customWidth="1" min="9" max="9"/>
    <col width="40" customWidth="1" min="10" max="10"/>
  </cols>
  <sheetData>
    <row r="1" ht="24" customHeight="1">
      <c r="A1" s="1" t="inlineStr">
        <is>
          <t>REVUE D'APRES-SEANCE  -  15 MINUTES, A DEUX</t>
        </is>
      </c>
    </row>
    <row r="2">
      <c r="A2" s="6" t="inlineStr">
        <is>
          <t>A remplir juste apres chaque seance, avant de rentrer. C'est le meilleur outil de preparation de la seance suivante qui existe.</t>
        </is>
      </c>
    </row>
    <row r="3" ht="30" customHeight="1">
      <c r="A3" s="7" t="inlineStr">
        <is>
          <t>Seance</t>
        </is>
      </c>
      <c r="B3" s="7" t="inlineStr">
        <is>
          <t>Date</t>
        </is>
      </c>
      <c r="C3" s="7" t="inlineStr">
        <is>
          <t>Capitaine</t>
        </is>
      </c>
      <c r="D3" s="7" t="inlineStr">
        <is>
          <t>Mecanicien</t>
        </is>
      </c>
      <c r="E3" s="7" t="inlineStr">
        <is>
          <t>Presents</t>
        </is>
      </c>
      <c r="F3" s="7" t="inlineStr">
        <is>
          <t>Q1 - Qui a decroche, et qu'est-ce qu'on fait samedi ?</t>
        </is>
      </c>
      <c r="G3" s="7" t="inlineStr">
        <is>
          <t>Q2 - Quelle explication n'a pas marche, et comment on la reformule ?</t>
        </is>
      </c>
      <c r="H3" s="7" t="inlineStr">
        <is>
          <t>Q3 - La brique de la semaine prochaine est-elle trop grosse ?</t>
        </is>
      </c>
      <c r="I3" s="7" t="inlineStr">
        <is>
          <t>Notion la plus citee sur les post-it</t>
        </is>
      </c>
      <c r="J3" s="7" t="inlineStr">
        <is>
          <t>Decisions prises</t>
        </is>
      </c>
    </row>
    <row r="4" ht="46" customHeight="1">
      <c r="A4" s="29" t="inlineStr">
        <is>
          <t>S01</t>
        </is>
      </c>
      <c r="B4" s="22" t="n"/>
      <c r="C4" s="23" t="n"/>
      <c r="D4" s="23" t="n"/>
      <c r="E4" s="23" t="n"/>
      <c r="F4" s="23" t="n"/>
      <c r="G4" s="23" t="n"/>
      <c r="H4" s="23" t="n"/>
      <c r="I4" s="23" t="n"/>
      <c r="J4" s="23" t="n"/>
    </row>
    <row r="5" ht="46" customHeight="1">
      <c r="A5" s="29" t="inlineStr">
        <is>
          <t>S02</t>
        </is>
      </c>
      <c r="B5" s="22" t="n"/>
      <c r="C5" s="23" t="n"/>
      <c r="D5" s="23" t="n"/>
      <c r="E5" s="23" t="n"/>
      <c r="F5" s="23" t="n"/>
      <c r="G5" s="23" t="n"/>
      <c r="H5" s="23" t="n"/>
      <c r="I5" s="23" t="n"/>
      <c r="J5" s="23" t="n"/>
    </row>
    <row r="6" ht="46" customHeight="1">
      <c r="A6" s="29" t="inlineStr">
        <is>
          <t>S03</t>
        </is>
      </c>
      <c r="B6" s="22" t="n"/>
      <c r="C6" s="23" t="n"/>
      <c r="D6" s="23" t="n"/>
      <c r="E6" s="23" t="n"/>
      <c r="F6" s="23" t="n"/>
      <c r="G6" s="23" t="n"/>
      <c r="H6" s="23" t="n"/>
      <c r="I6" s="23" t="n"/>
      <c r="J6" s="23" t="n"/>
    </row>
    <row r="7" ht="46" customHeight="1">
      <c r="A7" s="29" t="inlineStr">
        <is>
          <t>S04</t>
        </is>
      </c>
      <c r="B7" s="22" t="n"/>
      <c r="C7" s="23" t="n"/>
      <c r="D7" s="23" t="n"/>
      <c r="E7" s="23" t="n"/>
      <c r="F7" s="23" t="n"/>
      <c r="G7" s="23" t="n"/>
      <c r="H7" s="23" t="n"/>
      <c r="I7" s="23" t="n"/>
      <c r="J7" s="23" t="n"/>
    </row>
    <row r="8" ht="46" customHeight="1">
      <c r="A8" s="29" t="inlineStr">
        <is>
          <t>S05</t>
        </is>
      </c>
      <c r="B8" s="22" t="n"/>
      <c r="C8" s="23" t="n"/>
      <c r="D8" s="23" t="n"/>
      <c r="E8" s="23" t="n"/>
      <c r="F8" s="23" t="n"/>
      <c r="G8" s="23" t="n"/>
      <c r="H8" s="23" t="n"/>
      <c r="I8" s="23" t="n"/>
      <c r="J8" s="23" t="n"/>
    </row>
    <row r="9" ht="46" customHeight="1">
      <c r="A9" s="29" t="inlineStr">
        <is>
          <t>S06</t>
        </is>
      </c>
      <c r="B9" s="22" t="n"/>
      <c r="C9" s="23" t="n"/>
      <c r="D9" s="23" t="n"/>
      <c r="E9" s="23" t="n"/>
      <c r="F9" s="23" t="n"/>
      <c r="G9" s="23" t="n"/>
      <c r="H9" s="23" t="n"/>
      <c r="I9" s="23" t="n"/>
      <c r="J9" s="23" t="n"/>
    </row>
    <row r="10" ht="46" customHeight="1">
      <c r="A10" s="29" t="inlineStr">
        <is>
          <t>S07</t>
        </is>
      </c>
      <c r="B10" s="22" t="n"/>
      <c r="C10" s="23" t="n"/>
      <c r="D10" s="23" t="n"/>
      <c r="E10" s="23" t="n"/>
      <c r="F10" s="23" t="n"/>
      <c r="G10" s="23" t="n"/>
      <c r="H10" s="23" t="n"/>
      <c r="I10" s="23" t="n"/>
      <c r="J10" s="23" t="n"/>
    </row>
    <row r="11" ht="46" customHeight="1">
      <c r="A11" s="29" t="inlineStr">
        <is>
          <t>S08</t>
        </is>
      </c>
      <c r="B11" s="22" t="n"/>
      <c r="C11" s="23" t="n"/>
      <c r="D11" s="23" t="n"/>
      <c r="E11" s="23" t="n"/>
      <c r="F11" s="23" t="n"/>
      <c r="G11" s="23" t="n"/>
      <c r="H11" s="23" t="n"/>
      <c r="I11" s="23" t="n"/>
      <c r="J11" s="23" t="n"/>
    </row>
    <row r="12" ht="46" customHeight="1">
      <c r="A12" s="29" t="inlineStr">
        <is>
          <t>S09</t>
        </is>
      </c>
      <c r="B12" s="22" t="n"/>
      <c r="C12" s="23" t="n"/>
      <c r="D12" s="23" t="n"/>
      <c r="E12" s="23" t="n"/>
      <c r="F12" s="23" t="n"/>
      <c r="G12" s="23" t="n"/>
      <c r="H12" s="23" t="n"/>
      <c r="I12" s="23" t="n"/>
      <c r="J12" s="23" t="n"/>
    </row>
    <row r="13" ht="46" customHeight="1">
      <c r="A13" s="29" t="inlineStr">
        <is>
          <t>S10</t>
        </is>
      </c>
      <c r="B13" s="22" t="n"/>
      <c r="C13" s="23" t="n"/>
      <c r="D13" s="23" t="n"/>
      <c r="E13" s="23" t="n"/>
      <c r="F13" s="23" t="n"/>
      <c r="G13" s="23" t="n"/>
      <c r="H13" s="23" t="n"/>
      <c r="I13" s="23" t="n"/>
      <c r="J13" s="23" t="n"/>
    </row>
    <row r="14" ht="46" customHeight="1">
      <c r="A14" s="29" t="inlineStr">
        <is>
          <t>S11</t>
        </is>
      </c>
      <c r="B14" s="22" t="n"/>
      <c r="C14" s="23" t="n"/>
      <c r="D14" s="23" t="n"/>
      <c r="E14" s="23" t="n"/>
      <c r="F14" s="23" t="n"/>
      <c r="G14" s="23" t="n"/>
      <c r="H14" s="23" t="n"/>
      <c r="I14" s="23" t="n"/>
      <c r="J14" s="23" t="n"/>
    </row>
    <row r="15" ht="46" customHeight="1">
      <c r="A15" s="29" t="inlineStr">
        <is>
          <t>S12</t>
        </is>
      </c>
      <c r="B15" s="22" t="n"/>
      <c r="C15" s="23" t="n"/>
      <c r="D15" s="23" t="n"/>
      <c r="E15" s="23" t="n"/>
      <c r="F15" s="23" t="n"/>
      <c r="G15" s="23" t="n"/>
      <c r="H15" s="23" t="n"/>
      <c r="I15" s="23" t="n"/>
      <c r="J15" s="23" t="n"/>
    </row>
    <row r="16" ht="46" customHeight="1">
      <c r="A16" s="29" t="inlineStr">
        <is>
          <t>S13</t>
        </is>
      </c>
      <c r="B16" s="22" t="n"/>
      <c r="C16" s="23" t="n"/>
      <c r="D16" s="23" t="n"/>
      <c r="E16" s="23" t="n"/>
      <c r="F16" s="23" t="n"/>
      <c r="G16" s="23" t="n"/>
      <c r="H16" s="23" t="n"/>
      <c r="I16" s="23" t="n"/>
      <c r="J16" s="23" t="n"/>
    </row>
    <row r="17" ht="46" customHeight="1">
      <c r="A17" s="29" t="inlineStr">
        <is>
          <t>S14</t>
        </is>
      </c>
      <c r="B17" s="22" t="n"/>
      <c r="C17" s="23" t="n"/>
      <c r="D17" s="23" t="n"/>
      <c r="E17" s="23" t="n"/>
      <c r="F17" s="23" t="n"/>
      <c r="G17" s="23" t="n"/>
      <c r="H17" s="23" t="n"/>
      <c r="I17" s="23" t="n"/>
      <c r="J17" s="23" t="n"/>
    </row>
    <row r="18" ht="46" customHeight="1">
      <c r="A18" s="29" t="inlineStr">
        <is>
          <t>S15</t>
        </is>
      </c>
      <c r="B18" s="22" t="n"/>
      <c r="C18" s="23" t="n"/>
      <c r="D18" s="23" t="n"/>
      <c r="E18" s="23" t="n"/>
      <c r="F18" s="23" t="n"/>
      <c r="G18" s="23" t="n"/>
      <c r="H18" s="23" t="n"/>
      <c r="I18" s="23" t="n"/>
      <c r="J18" s="23" t="n"/>
    </row>
    <row r="19" ht="46" customHeight="1">
      <c r="A19" s="29" t="inlineStr">
        <is>
          <t>S16</t>
        </is>
      </c>
      <c r="B19" s="22" t="n"/>
      <c r="C19" s="23" t="n"/>
      <c r="D19" s="23" t="n"/>
      <c r="E19" s="23" t="n"/>
      <c r="F19" s="23" t="n"/>
      <c r="G19" s="23" t="n"/>
      <c r="H19" s="23" t="n"/>
      <c r="I19" s="23" t="n"/>
      <c r="J19" s="23" t="n"/>
    </row>
    <row r="20" ht="46" customHeight="1">
      <c r="A20" s="29" t="inlineStr">
        <is>
          <t>S17</t>
        </is>
      </c>
      <c r="B20" s="22" t="n"/>
      <c r="C20" s="23" t="n"/>
      <c r="D20" s="23" t="n"/>
      <c r="E20" s="23" t="n"/>
      <c r="F20" s="23" t="n"/>
      <c r="G20" s="23" t="n"/>
      <c r="H20" s="23" t="n"/>
      <c r="I20" s="23" t="n"/>
      <c r="J20" s="23" t="n"/>
    </row>
    <row r="21" ht="46" customHeight="1">
      <c r="A21" s="29" t="inlineStr">
        <is>
          <t>S18</t>
        </is>
      </c>
      <c r="B21" s="22" t="n"/>
      <c r="C21" s="23" t="n"/>
      <c r="D21" s="23" t="n"/>
      <c r="E21" s="23" t="n"/>
      <c r="F21" s="23" t="n"/>
      <c r="G21" s="23" t="n"/>
      <c r="H21" s="23" t="n"/>
      <c r="I21" s="23" t="n"/>
      <c r="J21" s="23" t="n"/>
    </row>
    <row r="22" ht="46" customHeight="1">
      <c r="A22" s="29" t="inlineStr">
        <is>
          <t>S19</t>
        </is>
      </c>
      <c r="B22" s="22" t="n"/>
      <c r="C22" s="23" t="n"/>
      <c r="D22" s="23" t="n"/>
      <c r="E22" s="23" t="n"/>
      <c r="F22" s="23" t="n"/>
      <c r="G22" s="23" t="n"/>
      <c r="H22" s="23" t="n"/>
      <c r="I22" s="23" t="n"/>
      <c r="J22" s="23" t="n"/>
    </row>
    <row r="23" ht="46" customHeight="1">
      <c r="A23" s="29" t="inlineStr">
        <is>
          <t>S20</t>
        </is>
      </c>
      <c r="B23" s="22" t="n"/>
      <c r="C23" s="23" t="n"/>
      <c r="D23" s="23" t="n"/>
      <c r="E23" s="23" t="n"/>
      <c r="F23" s="23" t="n"/>
      <c r="G23" s="23" t="n"/>
      <c r="H23" s="23" t="n"/>
      <c r="I23" s="23" t="n"/>
      <c r="J23" s="23" t="n"/>
    </row>
    <row r="24" ht="46" customHeight="1">
      <c r="A24" s="29" t="inlineStr">
        <is>
          <t>S21</t>
        </is>
      </c>
      <c r="B24" s="22" t="n"/>
      <c r="C24" s="23" t="n"/>
      <c r="D24" s="23" t="n"/>
      <c r="E24" s="23" t="n"/>
      <c r="F24" s="23" t="n"/>
      <c r="G24" s="23" t="n"/>
      <c r="H24" s="23" t="n"/>
      <c r="I24" s="23" t="n"/>
      <c r="J24" s="23" t="n"/>
    </row>
    <row r="25" ht="46" customHeight="1">
      <c r="A25" s="29" t="inlineStr">
        <is>
          <t>S22</t>
        </is>
      </c>
      <c r="B25" s="22" t="n"/>
      <c r="C25" s="23" t="n"/>
      <c r="D25" s="23" t="n"/>
      <c r="E25" s="23" t="n"/>
      <c r="F25" s="23" t="n"/>
      <c r="G25" s="23" t="n"/>
      <c r="H25" s="23" t="n"/>
      <c r="I25" s="23" t="n"/>
      <c r="J25" s="23" t="n"/>
    </row>
  </sheetData>
  <mergeCells count="2">
    <mergeCell ref="A1:J1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6" customWidth="1" min="5" max="5"/>
    <col width="12" customWidth="1" min="6" max="6"/>
    <col width="10" customWidth="1" min="7" max="7"/>
    <col width="44" customWidth="1" min="8" max="8"/>
  </cols>
  <sheetData>
    <row r="1" ht="24" customHeight="1">
      <c r="A1" s="1" t="inlineStr">
        <is>
          <t>MATERIEL ET INVENTAIRE</t>
        </is>
      </c>
    </row>
    <row r="2">
      <c r="A2" s="6" t="inlineStr">
        <is>
          <t>Ce qu'il faut imprimer, acheter, installer. Mettez le statut a jour : le tableau de bord compte ce qui reste.</t>
        </is>
      </c>
    </row>
    <row r="3" ht="30" customHeight="1">
      <c r="A3" s="7" t="inlineStr">
        <is>
          <t>Categorie</t>
        </is>
      </c>
      <c r="B3" s="7" t="inlineStr">
        <is>
          <t>Article</t>
        </is>
      </c>
      <c r="C3" s="7" t="inlineStr">
        <is>
          <t>Quantite prevue</t>
        </is>
      </c>
      <c r="D3" s="7" t="inlineStr">
        <is>
          <t>Quantite reelle</t>
        </is>
      </c>
      <c r="E3" s="7" t="inlineStr">
        <is>
          <t>Ou / qui</t>
        </is>
      </c>
      <c r="F3" s="7" t="inlineStr">
        <is>
          <t>Statut</t>
        </is>
      </c>
      <c r="G3" s="7" t="inlineStr">
        <is>
          <t>Cout</t>
        </is>
      </c>
      <c r="H3" s="7" t="inlineStr">
        <is>
          <t>Remarques</t>
        </is>
      </c>
    </row>
    <row r="4">
      <c r="A4" s="29" t="inlineStr">
        <is>
          <t>Impression</t>
        </is>
      </c>
      <c r="B4" s="25" t="inlineStr">
        <is>
          <t>Cartes de signalisation (1 page / binome)</t>
        </is>
      </c>
      <c r="C4" s="13" t="n">
        <v>10</v>
      </c>
      <c r="D4" s="14" t="n"/>
      <c r="E4" s="14" t="n"/>
      <c r="F4" s="14" t="inlineStr">
        <is>
          <t>A faire</t>
        </is>
      </c>
      <c r="G4" s="14" t="n"/>
      <c r="H4" s="25" t="inlineStr">
        <is>
          <t>Papier epais 160g + plastification</t>
        </is>
      </c>
    </row>
    <row r="5">
      <c r="A5" s="29" t="inlineStr">
        <is>
          <t>Impression</t>
        </is>
      </c>
      <c r="B5" s="25" t="inlineStr">
        <is>
          <t>Affiches A3 (3 avant moi, Contrat, Erreurs)</t>
        </is>
      </c>
      <c r="C5" s="13" t="n">
        <v>3</v>
      </c>
      <c r="D5" s="14" t="n"/>
      <c r="E5" s="14" t="n"/>
      <c r="F5" s="14" t="inlineStr">
        <is>
          <t>A faire</t>
        </is>
      </c>
      <c r="G5" s="14" t="n"/>
      <c r="H5" s="25" t="inlineStr">
        <is>
          <t>Couleur</t>
        </is>
      </c>
    </row>
    <row r="6">
      <c r="A6" s="29" t="inlineStr">
        <is>
          <t>Impression</t>
        </is>
      </c>
      <c r="B6" s="25" t="inlineStr">
        <is>
          <t>Mur de Mission A3 paysage</t>
        </is>
      </c>
      <c r="C6" s="13" t="n">
        <v>1</v>
      </c>
      <c r="D6" s="14" t="n"/>
      <c r="E6" s="14" t="n"/>
      <c r="F6" s="14" t="inlineStr">
        <is>
          <t>A faire</t>
        </is>
      </c>
      <c r="G6" s="14" t="n"/>
      <c r="H6" s="25" t="inlineStr">
        <is>
          <t>A coller sur papier kraft si possible</t>
        </is>
      </c>
    </row>
    <row r="7">
      <c r="A7" s="29" t="inlineStr">
        <is>
          <t>Impression</t>
        </is>
      </c>
      <c r="B7" s="25" t="inlineStr">
        <is>
          <t>Fiche memo eleve</t>
        </is>
      </c>
      <c r="C7" s="13" t="n">
        <v>10</v>
      </c>
      <c r="D7" s="14" t="n"/>
      <c r="E7" s="14" t="n"/>
      <c r="F7" s="14" t="inlineStr">
        <is>
          <t>A faire</t>
        </is>
      </c>
      <c r="G7" s="14" t="n"/>
      <c r="H7" s="25" t="inlineStr">
        <is>
          <t>1 par binome</t>
        </is>
      </c>
    </row>
    <row r="8">
      <c r="A8" s="29" t="inlineStr">
        <is>
          <t>Impression</t>
        </is>
      </c>
      <c r="B8" s="25" t="inlineStr">
        <is>
          <t>Cartes des pistes Rouge/Noire</t>
        </is>
      </c>
      <c r="C8" s="13" t="n">
        <v>10</v>
      </c>
      <c r="D8" s="14" t="n"/>
      <c r="E8" s="14" t="n"/>
      <c r="F8" s="14" t="inlineStr">
        <is>
          <t>A faire</t>
        </is>
      </c>
      <c r="G8" s="14" t="n"/>
      <c r="H8" s="25" t="inlineStr">
        <is>
          <t>1 par binome</t>
        </is>
      </c>
    </row>
    <row r="9">
      <c r="A9" s="29" t="inlineStr">
        <is>
          <t>Impression</t>
        </is>
      </c>
      <c r="B9" s="25" t="inlineStr">
        <is>
          <t>Station 1 - cartes-missions</t>
        </is>
      </c>
      <c r="C9" s="13" t="n">
        <v>6</v>
      </c>
      <c r="D9" s="14" t="n"/>
      <c r="E9" s="14" t="n"/>
      <c r="F9" s="14" t="inlineStr">
        <is>
          <t>A faire</t>
        </is>
      </c>
      <c r="G9" s="14" t="n"/>
      <c r="H9" s="25" t="inlineStr">
        <is>
          <t>A decouper</t>
        </is>
      </c>
    </row>
    <row r="10">
      <c r="A10" s="29" t="inlineStr">
        <is>
          <t>Impression</t>
        </is>
      </c>
      <c r="B10" s="25" t="inlineStr">
        <is>
          <t>Station 2 - enigmes (recto-verso)</t>
        </is>
      </c>
      <c r="C10" s="13" t="n">
        <v>6</v>
      </c>
      <c r="D10" s="14" t="n"/>
      <c r="E10" s="14" t="n"/>
      <c r="F10" s="14" t="inlineStr">
        <is>
          <t>A faire</t>
        </is>
      </c>
      <c r="G10" s="14" t="n"/>
      <c r="H10" s="25" t="inlineStr"/>
    </row>
    <row r="11">
      <c r="A11" s="29" t="inlineStr">
        <is>
          <t>Impression</t>
        </is>
      </c>
      <c r="B11" s="25" t="inlineStr">
        <is>
          <t>Station 3 - Ma fiche de Geek</t>
        </is>
      </c>
      <c r="C11" s="13" t="n">
        <v>20</v>
      </c>
      <c r="D11" s="14" t="n"/>
      <c r="E11" s="14" t="n"/>
      <c r="F11" s="14" t="inlineStr">
        <is>
          <t>A faire</t>
        </is>
      </c>
      <c r="G11" s="14" t="n"/>
      <c r="H11" s="25" t="inlineStr">
        <is>
          <t>1 par eleve</t>
        </is>
      </c>
    </row>
    <row r="12">
      <c r="A12" s="29" t="inlineStr">
        <is>
          <t>Impression</t>
        </is>
      </c>
      <c r="B12" s="25" t="inlineStr">
        <is>
          <t>Grille d'observation + corriges</t>
        </is>
      </c>
      <c r="C12" s="13" t="n">
        <v>2</v>
      </c>
      <c r="D12" s="14" t="n"/>
      <c r="E12" s="14" t="n"/>
      <c r="F12" s="14" t="inlineStr">
        <is>
          <t>A faire</t>
        </is>
      </c>
      <c r="G12" s="14" t="n"/>
      <c r="H12" s="25" t="inlineStr">
        <is>
          <t>PAGES 2-3 = CORRIGES, ne pas laisser trainer</t>
        </is>
      </c>
    </row>
    <row r="13">
      <c r="A13" s="29" t="inlineStr">
        <is>
          <t>Impression</t>
        </is>
      </c>
      <c r="B13" s="25" t="inlineStr">
        <is>
          <t>Etiquettes prenoms</t>
        </is>
      </c>
      <c r="C13" s="13" t="n">
        <v>3</v>
      </c>
      <c r="D13" s="14" t="n"/>
      <c r="E13" s="14" t="n"/>
      <c r="F13" s="14" t="inlineStr">
        <is>
          <t>A faire</t>
        </is>
      </c>
      <c r="G13" s="14" t="n"/>
      <c r="H13" s="25" t="inlineStr">
        <is>
          <t>24 etiquettes, a decouper</t>
        </is>
      </c>
    </row>
    <row r="14">
      <c r="A14" s="29" t="inlineStr">
        <is>
          <t>Impression</t>
        </is>
      </c>
      <c r="B14" s="25" t="inlineStr">
        <is>
          <t>Affiche Aider sans faire a la place</t>
        </is>
      </c>
      <c r="C14" s="13" t="n">
        <v>2</v>
      </c>
      <c r="D14" s="14" t="n"/>
      <c r="E14" s="14" t="n"/>
      <c r="F14" s="14" t="inlineStr">
        <is>
          <t>A faire</t>
        </is>
      </c>
      <c r="G14" s="14" t="n"/>
      <c r="H14" s="25" t="inlineStr">
        <is>
          <t>Cote enseignants</t>
        </is>
      </c>
    </row>
    <row r="15">
      <c r="A15" s="29" t="inlineStr">
        <is>
          <t>Impression</t>
        </is>
      </c>
      <c r="B15" s="25" t="inlineStr">
        <is>
          <t>MON-SCRIPT d'animation</t>
        </is>
      </c>
      <c r="C15" s="13" t="n">
        <v>1</v>
      </c>
      <c r="D15" s="14" t="n"/>
      <c r="E15" s="14" t="n"/>
      <c r="F15" s="14" t="inlineStr">
        <is>
          <t>A faire</t>
        </is>
      </c>
      <c r="G15" s="14" t="n"/>
      <c r="H15" s="25" t="inlineStr">
        <is>
          <t>14 pages, agrafe</t>
        </is>
      </c>
    </row>
    <row r="16">
      <c r="A16" s="29" t="inlineStr">
        <is>
          <t>Achat</t>
        </is>
      </c>
      <c r="B16" s="25" t="inlineStr">
        <is>
          <t>Post-it</t>
        </is>
      </c>
      <c r="C16" s="13" t="n">
        <v>2</v>
      </c>
      <c r="D16" s="14" t="n"/>
      <c r="E16" s="14" t="n"/>
      <c r="F16" s="14" t="inlineStr">
        <is>
          <t>A faire</t>
        </is>
      </c>
      <c r="G16" s="14" t="n"/>
      <c r="H16" s="25" t="inlineStr">
        <is>
          <t>PAR ELEVE ET PAR SEANCE - prevoir large</t>
        </is>
      </c>
    </row>
    <row r="17">
      <c r="A17" s="29" t="inlineStr">
        <is>
          <t>Achat</t>
        </is>
      </c>
      <c r="B17" s="25" t="inlineStr">
        <is>
          <t>Feutres noirs pointe large</t>
        </is>
      </c>
      <c r="C17" s="13" t="n">
        <v>4</v>
      </c>
      <c r="D17" s="14" t="n"/>
      <c r="E17" s="14" t="n"/>
      <c r="F17" s="14" t="inlineStr">
        <is>
          <t>A faire</t>
        </is>
      </c>
      <c r="G17" s="14" t="n"/>
      <c r="H17" s="25" t="inlineStr">
        <is>
          <t>Etiquettes et affiches</t>
        </is>
      </c>
    </row>
    <row r="18">
      <c r="A18" s="29" t="inlineStr">
        <is>
          <t>Achat</t>
        </is>
      </c>
      <c r="B18" s="25" t="inlineStr">
        <is>
          <t>Gommettes de couleur (= badges)</t>
        </is>
      </c>
      <c r="C18" s="13" t="n">
        <v>1</v>
      </c>
      <c r="D18" s="14" t="n"/>
      <c r="E18" s="14" t="n"/>
      <c r="F18" s="14" t="inlineStr">
        <is>
          <t>A faire</t>
        </is>
      </c>
      <c r="G18" s="14" t="n"/>
      <c r="H18" s="25" t="inlineStr">
        <is>
          <t>Une couleur par badge</t>
        </is>
      </c>
    </row>
    <row r="19">
      <c r="A19" s="29" t="inlineStr">
        <is>
          <t>Achat</t>
        </is>
      </c>
      <c r="B19" s="25" t="inlineStr">
        <is>
          <t>Ruban adhesif / porte-badges</t>
        </is>
      </c>
      <c r="C19" s="13" t="n">
        <v>1</v>
      </c>
      <c r="D19" s="14" t="n"/>
      <c r="E19" s="14" t="n"/>
      <c r="F19" s="14" t="inlineStr">
        <is>
          <t>A faire</t>
        </is>
      </c>
      <c r="G19" s="14" t="n"/>
      <c r="H19" s="25" t="inlineStr"/>
    </row>
    <row r="20">
      <c r="A20" s="29" t="inlineStr">
        <is>
          <t>Achat</t>
        </is>
      </c>
      <c r="B20" s="25" t="inlineStr">
        <is>
          <t>Boite ou bocal pour les post-it de sortie</t>
        </is>
      </c>
      <c r="C20" s="13" t="n">
        <v>1</v>
      </c>
      <c r="D20" s="14" t="n"/>
      <c r="E20" s="14" t="n"/>
      <c r="F20" s="14" t="inlineStr">
        <is>
          <t>A faire</t>
        </is>
      </c>
      <c r="G20" s="14" t="n"/>
      <c r="H20" s="25" t="inlineStr"/>
    </row>
    <row r="21">
      <c r="A21" s="29" t="inlineStr">
        <is>
          <t>Achat</t>
        </is>
      </c>
      <c r="B21" s="25" t="inlineStr">
        <is>
          <t>Minuteur visible de toute la salle</t>
        </is>
      </c>
      <c r="C21" s="13" t="n">
        <v>1</v>
      </c>
      <c r="D21" s="14" t="n"/>
      <c r="E21" s="14" t="n"/>
      <c r="F21" s="14" t="inlineStr">
        <is>
          <t>A faire</t>
        </is>
      </c>
      <c r="G21" s="14" t="n"/>
      <c r="H21" s="25" t="inlineStr">
        <is>
          <t>Ou un chronometre projete</t>
        </is>
      </c>
    </row>
    <row r="22">
      <c r="A22" s="29" t="inlineStr">
        <is>
          <t>Achat</t>
        </is>
      </c>
      <c r="B22" s="25" t="inlineStr">
        <is>
          <t>Cle USB</t>
        </is>
      </c>
      <c r="C22" s="13" t="n">
        <v>1</v>
      </c>
      <c r="D22" s="14" t="n"/>
      <c r="E22" s="14" t="n"/>
      <c r="F22" s="14" t="inlineStr">
        <is>
          <t>A faire</t>
        </is>
      </c>
      <c r="G22" s="14" t="n"/>
      <c r="H22" s="25" t="inlineStr">
        <is>
          <t>Contenu : voir 4-outils/LISEZ-MOI.md</t>
        </is>
      </c>
    </row>
    <row r="23">
      <c r="A23" s="29" t="inlineStr">
        <is>
          <t>Salle</t>
        </is>
      </c>
      <c r="B23" s="25" t="inlineStr">
        <is>
          <t>Videoprojecteur teste avec le cable du jour</t>
        </is>
      </c>
      <c r="C23" s="13" t="n">
        <v>1</v>
      </c>
      <c r="D23" s="14" t="n"/>
      <c r="E23" s="14" t="n"/>
      <c r="F23" s="14" t="inlineStr">
        <is>
          <t>A faire</t>
        </is>
      </c>
      <c r="G23" s="14" t="n"/>
      <c r="H23" s="25" t="inlineStr"/>
    </row>
    <row r="24">
      <c r="A24" s="29" t="inlineStr">
        <is>
          <t>Salle</t>
        </is>
      </c>
      <c r="B24" s="25" t="inlineStr">
        <is>
          <t>Machine de reserve allumee au fond</t>
        </is>
      </c>
      <c r="C24" s="13" t="n">
        <v>1</v>
      </c>
      <c r="D24" s="14" t="n"/>
      <c r="E24" s="14" t="n"/>
      <c r="F24" s="14" t="inlineStr">
        <is>
          <t>A faire</t>
        </is>
      </c>
      <c r="G24" s="14" t="n"/>
      <c r="H24" s="25" t="inlineStr"/>
    </row>
    <row r="25">
      <c r="A25" s="29" t="inlineStr">
        <is>
          <t>Salle</t>
        </is>
      </c>
      <c r="B25" s="25" t="inlineStr">
        <is>
          <t>Mur libre pour les affiches</t>
        </is>
      </c>
      <c r="C25" s="13" t="n">
        <v>1</v>
      </c>
      <c r="D25" s="14" t="n"/>
      <c r="E25" s="14" t="n"/>
      <c r="F25" s="14" t="inlineStr">
        <is>
          <t>A faire</t>
        </is>
      </c>
      <c r="G25" s="14" t="n"/>
      <c r="H25" s="25" t="inlineStr"/>
    </row>
    <row r="26">
      <c r="A26" s="29" t="inlineStr">
        <is>
          <t>Salle</t>
        </is>
      </c>
      <c r="B26" s="25" t="inlineStr">
        <is>
          <t>Disposition : tous les ecrans visibles depuis le fond</t>
        </is>
      </c>
      <c r="C26" s="13" t="n">
        <v>1</v>
      </c>
      <c r="D26" s="14" t="n"/>
      <c r="E26" s="14" t="n"/>
      <c r="F26" s="14" t="inlineStr">
        <is>
          <t>A faire</t>
        </is>
      </c>
      <c r="G26" s="14" t="n"/>
      <c r="H26" s="25" t="inlineStr">
        <is>
          <t>Jamais en epi dos au mur</t>
        </is>
      </c>
    </row>
    <row r="27">
      <c r="A27" s="29" t="inlineStr">
        <is>
          <t>Logiciel</t>
        </is>
      </c>
      <c r="B27" s="25" t="inlineStr">
        <is>
          <t>Python 3 installe (meme version partout)</t>
        </is>
      </c>
      <c r="C27" s="13" t="n"/>
      <c r="D27" s="14" t="n"/>
      <c r="E27" s="14" t="n"/>
      <c r="F27" s="14" t="inlineStr">
        <is>
          <t>A faire</t>
        </is>
      </c>
      <c r="G27" s="14" t="n"/>
      <c r="H27" s="25" t="inlineStr">
        <is>
          <t>Version utilisee : ...............</t>
        </is>
      </c>
    </row>
    <row r="28">
      <c r="A28" s="29" t="inlineStr">
        <is>
          <t>Logiciel</t>
        </is>
      </c>
      <c r="B28" s="25" t="inlineStr">
        <is>
          <t>Thonny installe</t>
        </is>
      </c>
      <c r="C28" s="13" t="n"/>
      <c r="D28" s="14" t="n"/>
      <c r="E28" s="14" t="n"/>
      <c r="F28" s="14" t="inlineStr">
        <is>
          <t>A faire</t>
        </is>
      </c>
      <c r="G28" s="14" t="n"/>
      <c r="H28" s="25" t="inlineStr">
        <is>
          <t>Police reglee sur 18</t>
        </is>
      </c>
    </row>
    <row r="29">
      <c r="A29" s="29" t="inlineStr">
        <is>
          <t>Logiciel</t>
        </is>
      </c>
      <c r="B29" s="25" t="inlineStr">
        <is>
          <t>Dossier GEEKS cree sur chaque Bureau</t>
        </is>
      </c>
      <c r="C29" s="13" t="n"/>
      <c r="D29" s="14" t="n"/>
      <c r="E29" s="14" t="n"/>
      <c r="F29" s="14" t="inlineStr">
        <is>
          <t>A faire</t>
        </is>
      </c>
      <c r="G29" s="14" t="n"/>
      <c r="H29" s="25" t="inlineStr">
        <is>
          <t>Via 4-outils/installer_dossier_geeks.py</t>
        </is>
      </c>
    </row>
    <row r="31">
      <c r="B31" s="4" t="inlineStr">
        <is>
          <t>TOTAL des couts saisis</t>
        </is>
      </c>
      <c r="G31" s="30">
        <f>SUM(G4:G29)</f>
        <v/>
      </c>
    </row>
  </sheetData>
  <mergeCells count="2">
    <mergeCell ref="A2:H2"/>
    <mergeCell ref="A1:H1"/>
  </mergeCells>
  <dataValidations count="1">
    <dataValidation sqref="F4:F29" showDropDown="0" showInputMessage="0" showErrorMessage="0" allowBlank="1" errorTitle="Valeur non prevue" error="Choisissez une valeur dans la liste." type="list">
      <formula1>'13_Listes'!$K$4:$K$6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6" customWidth="1" min="3" max="3"/>
    <col width="62" customWidth="1" min="4" max="4"/>
  </cols>
  <sheetData>
    <row r="1" ht="26" customHeight="1">
      <c r="A1" s="1" t="inlineStr">
        <is>
          <t>TABLEAU DE BORD</t>
        </is>
      </c>
    </row>
    <row r="2">
      <c r="A2" s="6" t="inlineStr">
        <is>
          <t>Tout se calcule automatiquement a partir des autres onglets. A regarder une fois par mois, et avant chaque reunion.</t>
        </is>
      </c>
    </row>
    <row r="4">
      <c r="A4" s="31" t="inlineStr">
        <is>
          <t>L'EFFECTIF</t>
        </is>
      </c>
    </row>
    <row r="5">
      <c r="A5" s="32" t="inlineStr">
        <is>
          <t>Indicateur</t>
        </is>
      </c>
      <c r="B5" s="32" t="inlineStr">
        <is>
          <t>Valeur</t>
        </is>
      </c>
      <c r="C5" s="32" t="inlineStr">
        <is>
          <t>Cible</t>
        </is>
      </c>
      <c r="D5" s="32" t="inlineStr">
        <is>
          <t>Que faire si on est hors cible</t>
        </is>
      </c>
    </row>
    <row r="6">
      <c r="A6" s="13" t="inlineStr">
        <is>
          <t>Eleves inscrits</t>
        </is>
      </c>
      <c r="B6" s="33">
        <f>COUNTA('01_Apprenants'!B4:B33)</f>
        <v/>
      </c>
      <c r="C6" s="34" t="inlineStr"/>
      <c r="D6" s="35" t="inlineStr">
        <is>
          <t>Total des lignes remplies dans 01_Apprenants.</t>
        </is>
      </c>
    </row>
    <row r="7">
      <c r="A7" s="13" t="inlineStr">
        <is>
          <t>dont Jerusalem Geeks (9-12)</t>
        </is>
      </c>
      <c r="B7" s="33">
        <f>COUNTIF('01_Apprenants'!D4:D33,"Jerusalem*")</f>
        <v/>
      </c>
      <c r="C7" s="34" t="inlineStr"/>
      <c r="D7" s="35" t="inlineStr"/>
    </row>
    <row r="8">
      <c r="A8" s="13" t="inlineStr">
        <is>
          <t>dont Jeremiah Geeks (12-18)</t>
        </is>
      </c>
      <c r="B8" s="33">
        <f>COUNTIF('01_Apprenants'!D4:D33,"Jeremiah*")</f>
        <v/>
      </c>
      <c r="C8" s="34" t="inlineStr"/>
      <c r="D8" s="35" t="inlineStr"/>
    </row>
    <row r="9">
      <c r="A9" s="13" t="inlineStr">
        <is>
          <t>Binomes a prevoir (arrondi au superieur)</t>
        </is>
      </c>
      <c r="B9" s="33">
        <f>ROUNDUP(B6/2,0)</f>
        <v/>
      </c>
      <c r="C9" s="34" t="inlineStr">
        <is>
          <t>max 12</t>
        </is>
      </c>
      <c r="D9" s="35" t="inlineStr">
        <is>
          <t>Au-dela de 24 eleves par classe avec 2 enseignants, il faut un 3e encadrant : le dire aux responsables AVANT la rupture.</t>
        </is>
      </c>
    </row>
    <row r="10">
      <c r="A10" s="13" t="inlineStr">
        <is>
          <t>Eleves actifs</t>
        </is>
      </c>
      <c r="B10" s="33">
        <f>COUNTIF('01_Apprenants'!AA4:AA33,"Actif")</f>
        <v/>
      </c>
      <c r="C10" s="34" t="inlineStr"/>
      <c r="D10" s="35" t="inlineStr"/>
    </row>
    <row r="12">
      <c r="A12" s="31" t="inlineStr">
        <is>
          <t>LES PROFILS (apres le Test de Decollage)</t>
        </is>
      </c>
    </row>
    <row r="13">
      <c r="A13" s="13" t="inlineStr">
        <is>
          <t>P0 Decouvreur - ne maitrise pas la machine</t>
        </is>
      </c>
      <c r="B13" s="33">
        <f>COUNTIF('02_Diagnostic'!K4:K33,"P0*")</f>
        <v/>
      </c>
      <c r="C13" s="34" t="inlineStr"/>
      <c r="D13" s="35" t="inlineStr">
        <is>
          <t>Piste Bleue, squelette de code fourni, binome P1, vue de pres 3x par seance.</t>
        </is>
      </c>
    </row>
    <row r="14">
      <c r="A14" s="13" t="inlineStr">
        <is>
          <t>P1 Initie - sait s'en servir, n'a jamais code</t>
        </is>
      </c>
      <c r="B14" s="33">
        <f>COUNTIF('02_Diagnostic'!K4:K33,"P1*")</f>
        <v/>
      </c>
      <c r="C14" s="34" t="inlineStr"/>
      <c r="D14" s="35" t="inlineStr">
        <is>
          <t>C'est la cible standard du cours. Piste Rouge.</t>
        </is>
      </c>
    </row>
    <row r="15">
      <c r="A15" s="13" t="inlineStr">
        <is>
          <t>P2 Autonome</t>
        </is>
      </c>
      <c r="B15" s="33">
        <f>COUNTIF('02_Diagnostic'!K4:K33,"P2*")</f>
        <v/>
      </c>
      <c r="C15" s="34" t="inlineStr"/>
      <c r="D15" s="35" t="inlineStr">
        <is>
          <t>Piste Rouge puis Noire. Geek Mentor a partir de la seance 4.</t>
        </is>
      </c>
    </row>
    <row r="16">
      <c r="A16" s="13" t="inlineStr">
        <is>
          <t>P3 Avance - sait deja coder</t>
        </is>
      </c>
      <c r="B16" s="33">
        <f>COUNTIF('02_Diagnostic'!K4:K33,"P3*")</f>
        <v/>
      </c>
      <c r="C16" s="34" t="inlineStr"/>
      <c r="D16" s="35" t="inlineStr">
        <is>
          <t>Piste Noire systematique + mission speciale sur un module bonus.</t>
        </is>
      </c>
    </row>
    <row r="17">
      <c r="A17" s="13" t="inlineStr">
        <is>
          <t>Eleves diagnostiques</t>
        </is>
      </c>
      <c r="B17" s="33">
        <f>COUNTA('02_Diagnostic'!K4:K33)</f>
        <v/>
      </c>
      <c r="C17" s="34">
        <f> effectif</f>
        <v/>
      </c>
      <c r="D17" s="35" t="inlineStr">
        <is>
          <t>Si l'ecart persiste apres la seance 2, completer le diagnostic des absents.</t>
        </is>
      </c>
    </row>
    <row r="19">
      <c r="A19" s="31" t="inlineStr">
        <is>
          <t>LA SANTE DU DISPOSITIF</t>
        </is>
      </c>
    </row>
    <row r="20">
      <c r="A20" s="13" t="inlineStr">
        <is>
          <t>Taux de presence moyen</t>
        </is>
      </c>
      <c r="B20" s="36">
        <f>IFERROR(AVERAGE('03_Presence'!AC4:AC33),"")</f>
        <v/>
      </c>
      <c r="C20" s="34" t="inlineStr">
        <is>
          <t>&gt; 85 %</t>
        </is>
      </c>
      <c r="D20" s="35" t="inlineStr">
        <is>
          <t>Sous 85 % : enqueter aupres des familles. L'absence est le premier facteur d'abandon.</t>
        </is>
      </c>
    </row>
    <row r="21">
      <c r="A21" s="13" t="inlineStr">
        <is>
          <t>Eleves sur la LISTE DES 10 MINUTES</t>
        </is>
      </c>
      <c r="B21" s="33">
        <f>COUNTIF('04_Suivi-seances'!AD4:AD33,"OUI")</f>
        <v/>
      </c>
      <c r="C21" s="34" t="inlineStr">
        <is>
          <t>0</t>
        </is>
      </c>
      <c r="D21" s="35" t="inlineStr">
        <is>
          <t>Deux seances de suite sans production. Chacun doit avoir un tete-a-tete de 10 min a la prochaine seance.</t>
        </is>
      </c>
    </row>
    <row r="22">
      <c r="A22" s="13" t="inlineStr">
        <is>
          <t>Briques produites (toutes seances, tous eleves)</t>
        </is>
      </c>
      <c r="B22" s="33">
        <f>SUM('04_Suivi-seances'!AA4:AA33)</f>
        <v/>
      </c>
      <c r="C22" s="34" t="inlineStr"/>
      <c r="D22" s="35" t="inlineStr"/>
    </row>
    <row r="23">
      <c r="A23" s="13" t="inlineStr">
        <is>
          <t>Seances manquees sans production</t>
        </is>
      </c>
      <c r="B23" s="33">
        <f>SUM('04_Suivi-seances'!AC4:AC33)</f>
        <v/>
      </c>
      <c r="C23" s="34" t="inlineStr">
        <is>
          <t>le plus bas possible</t>
        </is>
      </c>
      <c r="D23" s="35" t="inlineStr"/>
    </row>
    <row r="24">
      <c r="A24" s="13" t="inlineStr">
        <is>
          <t>Observations sans action realisee</t>
        </is>
      </c>
      <c r="B24" s="33">
        <f>COUNTIF('05_Observations'!I4:I120,"A faire")+COUNTIF('05_Observations'!I4:I120,"En cours")</f>
        <v/>
      </c>
      <c r="C24" s="34" t="inlineStr">
        <is>
          <t>0</t>
        </is>
      </c>
      <c r="D24" s="35" t="inlineStr">
        <is>
          <t>Une observation sans action decidee et faite ne sert a rien.</t>
        </is>
      </c>
    </row>
    <row r="25">
      <c r="A25" s="13" t="inlineStr">
        <is>
          <t>Badges distribues</t>
        </is>
      </c>
      <c r="B25" s="33">
        <f>SUM('07_Badges-Grades'!R4:R33)</f>
        <v/>
      </c>
      <c r="C25" s="34" t="inlineStr"/>
      <c r="D25" s="35" t="inlineStr">
        <is>
          <t>Objectif : au moins 1 badge par eleve et par seance.</t>
        </is>
      </c>
    </row>
    <row r="27">
      <c r="A27" s="31" t="inlineStr">
        <is>
          <t>L'EQUITE (a surveiller de pres)</t>
        </is>
      </c>
    </row>
    <row r="28">
      <c r="A28" s="13" t="inlineStr">
        <is>
          <t>Eleves SANS ordinateur a la maison</t>
        </is>
      </c>
      <c r="B28" s="33">
        <f>COUNTIF('01_Apprenants'!W4:W33,"Non")</f>
        <v/>
      </c>
      <c r="C28" s="34" t="inlineStr"/>
      <c r="D28" s="35" t="inlineStr">
        <is>
          <t>AUCUN devoir ne doit jamais etre obligatoire. Le redire a voix haute a chaque distribution de defi.</t>
        </is>
      </c>
    </row>
    <row r="29">
      <c r="A29" s="13" t="inlineStr">
        <is>
          <t>Eleves sans internet a la maison</t>
        </is>
      </c>
      <c r="B29" s="33">
        <f>COUNTIF('01_Apprenants'!X4:X33,"Non")</f>
        <v/>
      </c>
      <c r="C29" s="34" t="inlineStr"/>
      <c r="D29" s="35" t="inlineStr">
        <is>
          <t>Rien dans le cours ne doit dependre d'internet.</t>
        </is>
      </c>
    </row>
    <row r="30">
      <c r="A30" s="13" t="inlineStr">
        <is>
          <t>Eleves n'ayant jamais code</t>
        </is>
      </c>
      <c r="B30" s="33">
        <f>COUNTIF('02_Diagnostic'!G4:G33,"Jamais")</f>
        <v/>
      </c>
      <c r="C30" s="34" t="inlineStr"/>
      <c r="D30" s="35" t="inlineStr"/>
    </row>
    <row r="31">
      <c r="A31" s="13" t="inlineStr">
        <is>
          <t>Passeport Machine : moyenne des gestes acquis</t>
        </is>
      </c>
      <c r="B31" s="37">
        <f>IFERROR(AVERAGE('08_Passeport'!Q4:Q33),"")</f>
        <v/>
      </c>
      <c r="C31" s="34" t="inlineStr">
        <is>
          <t>12 en fin de parcours</t>
        </is>
      </c>
      <c r="D31" s="35" t="inlineStr">
        <is>
          <t>Le geste 12 (frappe au clavier) est un objectif de fin d'annee, pas de debut.</t>
        </is>
      </c>
    </row>
    <row r="32">
      <c r="A32" s="13" t="inlineStr">
        <is>
          <t>Autorisations photo obtenues</t>
        </is>
      </c>
      <c r="B32" s="33">
        <f>COUNTIF('01_Apprenants'!V4:V33,"Oui")</f>
        <v/>
      </c>
      <c r="C32" s="34" t="inlineStr"/>
      <c r="D32" s="35" t="inlineStr">
        <is>
          <t>Aucune photo d'eleve utilisee sans accord ecrit.</t>
        </is>
      </c>
    </row>
    <row r="34">
      <c r="A34" s="31" t="inlineStr">
        <is>
          <t>LA PREPARATION DE LA SEANCE 1</t>
        </is>
      </c>
    </row>
    <row r="35">
      <c r="A35" s="13" t="inlineStr">
        <is>
          <t>Taches de preparation restantes</t>
        </is>
      </c>
      <c r="B35" s="33">
        <f>COUNTIF('09_Checklist-S01'!D4:D46,"A faire")+COUNTIF('09_Checklist-S01'!D4:D46,"En cours")</f>
        <v/>
      </c>
      <c r="C35" s="34" t="inlineStr">
        <is>
          <t>0</t>
        </is>
      </c>
      <c r="D35" s="35" t="inlineStr">
        <is>
          <t>Detail dans l'onglet 09.</t>
        </is>
      </c>
    </row>
    <row r="36">
      <c r="A36" s="13" t="inlineStr">
        <is>
          <t>Taches faites</t>
        </is>
      </c>
      <c r="B36" s="33">
        <f>COUNTIF('09_Checklist-S01'!D4:D46,"Fait")</f>
        <v/>
      </c>
      <c r="C36" s="34" t="inlineStr"/>
      <c r="D36" s="35" t="inlineStr"/>
    </row>
    <row r="37">
      <c r="A37" s="13" t="inlineStr">
        <is>
          <t>Avancement de la preparation</t>
        </is>
      </c>
      <c r="B37" s="36">
        <f>IFERROR(B36/(B36+B35),"")</f>
        <v/>
      </c>
      <c r="C37" s="34" t="inlineStr">
        <is>
          <t>100 %</t>
        </is>
      </c>
      <c r="D37" s="35" t="inlineStr"/>
    </row>
    <row r="38">
      <c r="A38" s="13" t="inlineStr">
        <is>
          <t>Materiel non encore pret</t>
        </is>
      </c>
      <c r="B38" s="33">
        <f>COUNTIF('11_Materiel'!F4:F29,"A faire")+COUNTIF('11_Materiel'!F4:F29,"En cours")</f>
        <v/>
      </c>
      <c r="C38" s="34" t="inlineStr">
        <is>
          <t>0</t>
        </is>
      </c>
      <c r="D38" s="35" t="inlineStr">
        <is>
          <t>Detail dans l'onglet 11.</t>
        </is>
      </c>
    </row>
    <row r="40">
      <c r="A40" s="4" t="inlineStr">
        <is>
          <t>RAPPEL : l'indicateur le plus important du programme n'est pas dans ce tableau.</t>
        </is>
      </c>
    </row>
    <row r="41">
      <c r="A41" s="3" t="inlineStr">
        <is>
          <t>C'est celui-ci : 100 % des eleves repartent-ils de chaque seance avec un jeu qui fonctionne ? Si la reponse est non, on allege la brique ou on renforce la piste Bleue -- on ne demande pas aux eleves d'aller plus vite.</t>
        </is>
      </c>
    </row>
    <row r="42"/>
  </sheetData>
  <mergeCells count="9">
    <mergeCell ref="A1:D1"/>
    <mergeCell ref="A40:D40"/>
    <mergeCell ref="A27:D27"/>
    <mergeCell ref="A34:D34"/>
    <mergeCell ref="A12:D12"/>
    <mergeCell ref="A4:D4"/>
    <mergeCell ref="A19:D19"/>
    <mergeCell ref="A2:D2"/>
    <mergeCell ref="A41:D4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24" customHeight="1">
      <c r="A1" s="1" t="inlineStr">
        <is>
          <t>LISTES DE CHOIX</t>
        </is>
      </c>
    </row>
    <row r="2">
      <c r="A2" s="6" t="inlineStr">
        <is>
          <t>Ces colonnes alimentent les menus deroulants des autres onglets. Vous pouvez ajouter des valeurs a la suite : elles apparaitront automatiquement.</t>
        </is>
      </c>
    </row>
    <row r="3" ht="30" customHeight="1">
      <c r="A3" s="7" t="inlineStr">
        <is>
          <t>Classe</t>
        </is>
      </c>
      <c r="B3" s="7" t="inlineStr">
        <is>
          <t>Profil</t>
        </is>
      </c>
      <c r="C3" s="7" t="inlineStr">
        <is>
          <t>Presence</t>
        </is>
      </c>
      <c r="D3" s="7" t="inlineStr">
        <is>
          <t>Production</t>
        </is>
      </c>
      <c r="E3" s="7" t="inlineStr">
        <is>
          <t>Oui/Non</t>
        </is>
      </c>
      <c r="F3" s="7" t="inlineStr">
        <is>
          <t>Attitude</t>
        </is>
      </c>
      <c r="G3" s="7" t="inlineStr">
        <is>
          <t>Grade</t>
        </is>
      </c>
      <c r="H3" s="7" t="inlineStr">
        <is>
          <t>Type d'observation</t>
        </is>
      </c>
      <c r="I3" s="7" t="inlineStr">
        <is>
          <t>Statut eleve</t>
        </is>
      </c>
      <c r="J3" s="7" t="inlineStr">
        <is>
          <t>Quand</t>
        </is>
      </c>
      <c r="K3" s="7" t="inlineStr">
        <is>
          <t>Fait ?</t>
        </is>
      </c>
      <c r="L3" s="7" t="inlineStr">
        <is>
          <t>Lien de parente</t>
        </is>
      </c>
      <c r="M3" s="7" t="inlineStr">
        <is>
          <t>Ordi maison</t>
        </is>
      </c>
      <c r="N3" s="7" t="inlineStr">
        <is>
          <t>Internet maison</t>
        </is>
      </c>
      <c r="O3" s="7" t="inlineStr">
        <is>
          <t>Deja code</t>
        </is>
      </c>
      <c r="P3" s="7" t="inlineStr">
        <is>
          <t>Niveau anglais</t>
        </is>
      </c>
      <c r="Q3" s="7" t="inlineStr">
        <is>
          <t>Coche</t>
        </is>
      </c>
    </row>
    <row r="4">
      <c r="A4" s="13" t="inlineStr">
        <is>
          <t>Jerusalem Geeks</t>
        </is>
      </c>
      <c r="B4" s="13" t="inlineStr">
        <is>
          <t>P0 Decouvreur</t>
        </is>
      </c>
      <c r="C4" s="13" t="inlineStr">
        <is>
          <t>P present</t>
        </is>
      </c>
      <c r="D4" s="13" t="inlineStr">
        <is>
          <t>V-Bleue</t>
        </is>
      </c>
      <c r="E4" s="13" t="inlineStr">
        <is>
          <t>Oui</t>
        </is>
      </c>
      <c r="F4" s="13" t="inlineStr">
        <is>
          <t>abandonne</t>
        </is>
      </c>
      <c r="G4" s="13" t="inlineStr">
        <is>
          <t>Novice</t>
        </is>
      </c>
      <c r="H4" s="13" t="inlineStr">
        <is>
          <t>Reussite</t>
        </is>
      </c>
      <c r="I4" s="13" t="inlineStr">
        <is>
          <t>Actif</t>
        </is>
      </c>
      <c r="J4" s="13" t="inlineStr">
        <is>
          <t>J-7</t>
        </is>
      </c>
      <c r="K4" s="13" t="inlineStr">
        <is>
          <t>A faire</t>
        </is>
      </c>
      <c r="L4" s="13" t="inlineStr">
        <is>
          <t>Mere</t>
        </is>
      </c>
      <c r="M4" s="13" t="inlineStr">
        <is>
          <t>Oui a moi</t>
        </is>
      </c>
      <c r="N4" s="13" t="inlineStr">
        <is>
          <t>Oui</t>
        </is>
      </c>
      <c r="O4" s="13" t="inlineStr">
        <is>
          <t>Jamais</t>
        </is>
      </c>
      <c r="P4" s="13" t="inlineStr">
        <is>
          <t>Non</t>
        </is>
      </c>
      <c r="Q4" s="13" t="inlineStr">
        <is>
          <t>V</t>
        </is>
      </c>
    </row>
    <row r="5">
      <c r="A5" s="13" t="inlineStr">
        <is>
          <t>Jeremiah Geeks</t>
        </is>
      </c>
      <c r="B5" s="13" t="inlineStr">
        <is>
          <t>P1 Initie</t>
        </is>
      </c>
      <c r="C5" s="13" t="inlineStr">
        <is>
          <t>R retard</t>
        </is>
      </c>
      <c r="D5" s="13" t="inlineStr">
        <is>
          <t>V-Rouge</t>
        </is>
      </c>
      <c r="E5" s="13" t="inlineStr">
        <is>
          <t>Non</t>
        </is>
      </c>
      <c r="F5" s="13" t="inlineStr">
        <is>
          <t>demande</t>
        </is>
      </c>
      <c r="G5" s="13" t="inlineStr">
        <is>
          <t>Apprenti Codeur</t>
        </is>
      </c>
      <c r="H5" s="13" t="inlineStr">
        <is>
          <t>Difficulte</t>
        </is>
      </c>
      <c r="I5" s="13" t="inlineStr">
        <is>
          <t>En pause</t>
        </is>
      </c>
      <c r="J5" s="13" t="inlineStr">
        <is>
          <t>J-1</t>
        </is>
      </c>
      <c r="K5" s="13" t="inlineStr">
        <is>
          <t>En cours</t>
        </is>
      </c>
      <c r="L5" s="13" t="inlineStr">
        <is>
          <t>Pere</t>
        </is>
      </c>
      <c r="M5" s="13" t="inlineStr">
        <is>
          <t>Oui partage</t>
        </is>
      </c>
      <c r="N5" s="13" t="inlineStr">
        <is>
          <t>Parfois</t>
        </is>
      </c>
      <c r="O5" s="13" t="inlineStr">
        <is>
          <t>Scratch</t>
        </is>
      </c>
      <c r="P5" s="13" t="inlineStr">
        <is>
          <t>Un peu</t>
        </is>
      </c>
      <c r="Q5" s="13" t="inlineStr"/>
    </row>
    <row r="6">
      <c r="A6" s="13" t="n"/>
      <c r="B6" s="13" t="inlineStr">
        <is>
          <t>P2 Autonome</t>
        </is>
      </c>
      <c r="C6" s="13" t="inlineStr">
        <is>
          <t>E excuse</t>
        </is>
      </c>
      <c r="D6" s="13" t="inlineStr">
        <is>
          <t>V-Noire</t>
        </is>
      </c>
      <c r="E6" s="13" t="n"/>
      <c r="F6" s="13" t="inlineStr">
        <is>
          <t>persevere</t>
        </is>
      </c>
      <c r="G6" s="13" t="inlineStr">
        <is>
          <t>Codeur</t>
        </is>
      </c>
      <c r="H6" s="13" t="inlineStr">
        <is>
          <t>Comportement</t>
        </is>
      </c>
      <c r="I6" s="13" t="inlineStr">
        <is>
          <t>Parti</t>
        </is>
      </c>
      <c r="J6" s="13" t="inlineStr">
        <is>
          <t>Jour J</t>
        </is>
      </c>
      <c r="K6" s="13" t="inlineStr">
        <is>
          <t>Fait</t>
        </is>
      </c>
      <c r="L6" s="13" t="inlineStr">
        <is>
          <t>Tuteur/Tutrice</t>
        </is>
      </c>
      <c r="M6" s="13" t="inlineStr">
        <is>
          <t>Non</t>
        </is>
      </c>
      <c r="N6" s="13" t="inlineStr">
        <is>
          <t>Non</t>
        </is>
      </c>
      <c r="O6" s="13" t="inlineStr">
        <is>
          <t>Python</t>
        </is>
      </c>
      <c r="P6" s="13" t="inlineStr">
        <is>
          <t>Oui</t>
        </is>
      </c>
      <c r="Q6" s="13" t="n"/>
    </row>
    <row r="7">
      <c r="A7" s="13" t="n"/>
      <c r="B7" s="13" t="inlineStr">
        <is>
          <t>P3 Avance</t>
        </is>
      </c>
      <c r="C7" s="13" t="inlineStr">
        <is>
          <t>A absent</t>
        </is>
      </c>
      <c r="D7" s="13" t="inlineStr">
        <is>
          <t>Partielle</t>
        </is>
      </c>
      <c r="E7" s="13" t="n"/>
      <c r="F7" s="13" t="inlineStr">
        <is>
          <t>aide les autres</t>
        </is>
      </c>
      <c r="G7" s="13" t="inlineStr">
        <is>
          <t>Ingenieur</t>
        </is>
      </c>
      <c r="H7" s="13" t="inlineStr">
        <is>
          <t>Famille</t>
        </is>
      </c>
      <c r="I7" s="13" t="n"/>
      <c r="J7" s="13" t="inlineStr">
        <is>
          <t>Pendant</t>
        </is>
      </c>
      <c r="K7" s="13" t="n"/>
      <c r="L7" s="13" t="inlineStr">
        <is>
          <t>Grand-parent</t>
        </is>
      </c>
      <c r="M7" s="13" t="n"/>
      <c r="N7" s="13" t="n"/>
      <c r="O7" s="13" t="inlineStr">
        <is>
          <t>Autre</t>
        </is>
      </c>
      <c r="P7" s="13" t="n"/>
      <c r="Q7" s="13" t="n"/>
    </row>
    <row r="8">
      <c r="A8" s="13" t="n"/>
      <c r="B8" s="13" t="n"/>
      <c r="C8" s="13" t="n"/>
      <c r="D8" s="13" t="inlineStr">
        <is>
          <t>Rien</t>
        </is>
      </c>
      <c r="E8" s="13" t="n"/>
      <c r="F8" s="13" t="n"/>
      <c r="G8" s="13" t="inlineStr">
        <is>
          <t>Architecte</t>
        </is>
      </c>
      <c r="H8" s="13" t="inlineStr">
        <is>
          <t>Sante</t>
        </is>
      </c>
      <c r="I8" s="13" t="n"/>
      <c r="J8" s="13" t="inlineStr">
        <is>
          <t>Apres</t>
        </is>
      </c>
      <c r="K8" s="13" t="n"/>
      <c r="L8" s="13" t="inlineStr">
        <is>
          <t>Frere/Soeur</t>
        </is>
      </c>
      <c r="M8" s="13" t="n"/>
      <c r="N8" s="13" t="n"/>
      <c r="O8" s="13" t="n"/>
      <c r="P8" s="13" t="n"/>
      <c r="Q8" s="13" t="n"/>
    </row>
    <row r="9">
      <c r="A9" s="13" t="n"/>
      <c r="B9" s="13" t="n"/>
      <c r="C9" s="13" t="n"/>
      <c r="D9" s="13" t="n"/>
      <c r="E9" s="13" t="n"/>
      <c r="F9" s="13" t="n"/>
      <c r="G9" s="13" t="inlineStr">
        <is>
          <t>Maitre Geek</t>
        </is>
      </c>
      <c r="H9" s="13" t="inlineStr">
        <is>
          <t>Materiel</t>
        </is>
      </c>
      <c r="I9" s="13" t="n"/>
      <c r="J9" s="13" t="n"/>
      <c r="K9" s="13" t="n"/>
      <c r="L9" s="13" t="inlineStr">
        <is>
          <t>Autre</t>
        </is>
      </c>
      <c r="M9" s="13" t="n"/>
      <c r="N9" s="13" t="n"/>
      <c r="O9" s="13" t="n"/>
      <c r="P9" s="13" t="n"/>
      <c r="Q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inlineStr">
        <is>
          <t>Autre</t>
        </is>
      </c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2026-09-11T18:16:58Z</dcterms:created>
  <dcterms:modified xsi:type="dcterms:W3CDTF">2026-09-11T18:16:58Z</dcterms:modified>
</cp:coreProperties>
</file>